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Read Me" state="visible" r:id="rId4"/>
    <sheet sheetId="3" name="Summary" state="visible" r:id="rId5"/>
    <sheet sheetId="2" name="Test Cases" state="visible" r:id="rId6"/>
  </sheets>
  <calcPr calcId="171027" fullCalcOnLoad="1"/>
</workbook>
</file>

<file path=xl/sharedStrings.xml><?xml version="1.0" encoding="utf-8"?>
<sst xmlns="http://schemas.openxmlformats.org/spreadsheetml/2006/main" count="1024" uniqueCount="423">
  <si>
    <t>SD and Rent Maintenance Application - UAT Test Cases</t>
  </si>
  <si>
    <t>Version 2.0.0-uat.1 (UAT Release 1)</t>
  </si>
  <si>
    <t>Purpose</t>
  </si>
  <si>
    <t>Manual user acceptance testing of the SD Maintenance screens and the new Rent Management module before production deployment.</t>
  </si>
  <si>
    <t>Installer</t>
  </si>
  <si>
    <t>SD-and-Rent-UAT-Setup-2.0.0-uat.1.exe. Install on one main PC ("This PC holds the data"), then on testers' PCs ("Connect to the main PC"). The UAT app is separate from the live SD Maintenance app; its data is test data only.</t>
  </si>
  <si>
    <t>Emails</t>
  </si>
  <si>
    <t>Dry-run: notification and password-reset emails are written to Administration &gt; Email Log as "DryRun" and never sent.</t>
  </si>
  <si>
    <t>How to test</t>
  </si>
  <si>
    <t xml:space="preserve">1. Work through the Test Cases sheet in order (later cases use data created by earlier ones).
2. Fill the yellow columns: Actual Result, Status, Severity (for Fail), Tested By, Test Date, Remarks.
3. For every Fail, describe the steps and attach a screenshot in Remarks or the shared folder.
4. Return the workbook; the Summary sheet updates automatically.</t>
  </si>
  <si>
    <t>Status values</t>
  </si>
  <si>
    <t>Pass - works as expected  |  Fail - differs from the expected result  |  Blocked - cannot be tested (e.g. depends on a failed case)  |  Not Run - not yet tested</t>
  </si>
  <si>
    <t>Severity (for Fail)</t>
  </si>
  <si>
    <t>Critical - wrong amounts / data loss / cannot continue  |  High - main function not working  |  Medium - works with a workaround  |  Low - cosmetic or wording</t>
  </si>
  <si>
    <t>Enhancement ideas</t>
  </si>
  <si>
    <t>Write them in Remarks with "Enhancement:" at the start, so they can be separated from bugs.</t>
  </si>
  <si>
    <t>Dates and amounts</t>
  </si>
  <si>
    <t>Dates are DD/MM/YYYY everywhere; amounts in Indian format (1,00,000.00).</t>
  </si>
  <si>
    <t>Example of a filled row (format only)</t>
  </si>
  <si>
    <t>Actual Result</t>
  </si>
  <si>
    <t>Monthly amounts Rs 1,00,000 and Rs 52,000 shown; total Rs 1,52,000; saved</t>
  </si>
  <si>
    <t>Status</t>
  </si>
  <si>
    <t>Pass</t>
  </si>
  <si>
    <t>Severity</t>
  </si>
  <si>
    <t>(leave blank when Pass)</t>
  </si>
  <si>
    <t>Tested By</t>
  </si>
  <si>
    <t>Priya (Finance)</t>
  </si>
  <si>
    <t>Test Date</t>
  </si>
  <si>
    <t>20/10/2026</t>
  </si>
  <si>
    <t>Remarks</t>
  </si>
  <si>
    <t>Enhancement: show the total in words as well</t>
  </si>
  <si>
    <t>UAT Summary - Version 2.0.0-uat.1</t>
  </si>
  <si>
    <t>Counts update automatically from the Test Cases sheet.</t>
  </si>
  <si>
    <t>Module</t>
  </si>
  <si>
    <t>Total</t>
  </si>
  <si>
    <t>Fail</t>
  </si>
  <si>
    <t>Blocked</t>
  </si>
  <si>
    <t>Not Run</t>
  </si>
  <si>
    <t>% Complete</t>
  </si>
  <si>
    <t>Installation</t>
  </si>
  <si>
    <t>Login &amp; Security</t>
  </si>
  <si>
    <t>Masters</t>
  </si>
  <si>
    <t>SD Master</t>
  </si>
  <si>
    <t>SD Transaction</t>
  </si>
  <si>
    <t>SD Reports</t>
  </si>
  <si>
    <t>Rent Master</t>
  </si>
  <si>
    <t>Rent Agreement</t>
  </si>
  <si>
    <t>Rule Master</t>
  </si>
  <si>
    <t>Waiver Master</t>
  </si>
  <si>
    <t>Rent Schedule</t>
  </si>
  <si>
    <t>SD &amp; Rent Report</t>
  </si>
  <si>
    <t>Fails by severity</t>
  </si>
  <si>
    <t>Critical</t>
  </si>
  <si>
    <t>High</t>
  </si>
  <si>
    <t>Medium</t>
  </si>
  <si>
    <t>Low</t>
  </si>
  <si>
    <t>TC ID</t>
  </si>
  <si>
    <t>Screen</t>
  </si>
  <si>
    <t>Scenario</t>
  </si>
  <si>
    <t>Pre-conditions</t>
  </si>
  <si>
    <t>Test Steps</t>
  </si>
  <si>
    <t>Test Data</t>
  </si>
  <si>
    <t>Expected Result</t>
  </si>
  <si>
    <t>INS-01</t>
  </si>
  <si>
    <t>Install the UAT app</t>
  </si>
  <si>
    <t>Windows 10/11 64-bit PC; admin rights</t>
  </si>
  <si>
    <t xml:space="preserve">1. Run SD-and-Rent-UAT-Setup-2.0.0-uat.1.exe
2. If "Windows protected your PC" appears, click More info &gt; Run anyway
3. Accept the default folder and finish</t>
  </si>
  <si>
    <t>Installer file</t>
  </si>
  <si>
    <t>App installs; "SD and Rent UAT" shortcut on Desktop and Start menu; app opens the "How is this PC used?" screen</t>
  </si>
  <si>
    <t/>
  </si>
  <si>
    <t>INS-02</t>
  </si>
  <si>
    <t>Setup screen</t>
  </si>
  <si>
    <t>Set up the main (data) PC</t>
  </si>
  <si>
    <t>App installed; first launch</t>
  </si>
  <si>
    <t xml:space="preserve">1. Choose "This PC holds the data"
2. Enter administrator email, password and confirm
3. Click Set up this PC</t>
  </si>
  <si>
    <t>Admin email; password with 8+ characters, a letter and a number</t>
  </si>
  <si>
    <t>Database is created in about a minute; login page opens; sign in as admin with the chosen password works</t>
  </si>
  <si>
    <t>INS-03</t>
  </si>
  <si>
    <t>Password rules on setup</t>
  </si>
  <si>
    <t>First launch</t>
  </si>
  <si>
    <t xml:space="preserve">1. Choose "This PC holds the data"
2. Enter a 5-character password, then two different passwords</t>
  </si>
  <si>
    <t>abc12; Test1234 / Test12345</t>
  </si>
  <si>
    <t>Clear messages: password needs 8+ characters with a letter and a number; "The two passwords do not match"; nothing is set up</t>
  </si>
  <si>
    <t>INS-04</t>
  </si>
  <si>
    <t>Settings</t>
  </si>
  <si>
    <t>Find the address for other PCs</t>
  </si>
  <si>
    <t>Main PC set up</t>
  </si>
  <si>
    <t>On the main PC: Settings &gt; Address for other PCs</t>
  </si>
  <si>
    <t>-</t>
  </si>
  <si>
    <t>Shows http://&lt;IP&gt;:5250 address(es) for other PCs</t>
  </si>
  <si>
    <t>INS-05</t>
  </si>
  <si>
    <t>Connect a second PC</t>
  </si>
  <si>
    <t>Main PC running the app; same network</t>
  </si>
  <si>
    <t xml:space="preserve">1. Install on a second PC
2. Choose "Connect to the main PC"
3. Enter the main PC address, click Test connection, then Connect</t>
  </si>
  <si>
    <t>e.g. 192.168.1.20</t>
  </si>
  <si>
    <t>Test connection reports success; the login page of the main PC opens; same data visible on both PCs</t>
  </si>
  <si>
    <t>INS-06</t>
  </si>
  <si>
    <t>Wrong main PC address</t>
  </si>
  <si>
    <t>Second PC</t>
  </si>
  <si>
    <t>Enter an address where the app is not running and click Connect</t>
  </si>
  <si>
    <t>e.g. 192.168.1.250</t>
  </si>
  <si>
    <t>Message "No SD Maintenance server answered..."; app is not switched to that address</t>
  </si>
  <si>
    <t>INS-07</t>
  </si>
  <si>
    <t>File menu</t>
  </si>
  <si>
    <t>Back up the database</t>
  </si>
  <si>
    <t>Main PC</t>
  </si>
  <si>
    <t>File &gt; Back up database..., save the file</t>
  </si>
  <si>
    <t>Backup file (.dump) is saved; "Backup complete" message</t>
  </si>
  <si>
    <t>INS-08</t>
  </si>
  <si>
    <t>Close</t>
  </si>
  <si>
    <t>Closing the main PC app warns</t>
  </si>
  <si>
    <t>Close the app window</t>
  </si>
  <si>
    <t>Confirmation that other PCs will lose access; Cancel keeps the app open</t>
  </si>
  <si>
    <t>SEC-01</t>
  </si>
  <si>
    <t>Login</t>
  </si>
  <si>
    <t>Valid login</t>
  </si>
  <si>
    <t>Admin user exists</t>
  </si>
  <si>
    <t>Enter user name and password, click Sign in</t>
  </si>
  <si>
    <t>admin / own password</t>
  </si>
  <si>
    <t>Dashboard opens with "Good morning/afternoon, admin" and the menus</t>
  </si>
  <si>
    <t>SEC-02</t>
  </si>
  <si>
    <t>Invalid password</t>
  </si>
  <si>
    <t>Enter a wrong password</t>
  </si>
  <si>
    <t>admin / wrong</t>
  </si>
  <si>
    <t>"Invalid User Name or Password." shown; no login</t>
  </si>
  <si>
    <t>SEC-03</t>
  </si>
  <si>
    <t>Change Password</t>
  </si>
  <si>
    <t>Change own password</t>
  </si>
  <si>
    <t>Logged in</t>
  </si>
  <si>
    <t>Administration &gt; Change Password; enter current and new password twice</t>
  </si>
  <si>
    <t>New password meeting the rules</t>
  </si>
  <si>
    <t>Success message; next login works only with the new password</t>
  </si>
  <si>
    <t>SEC-04</t>
  </si>
  <si>
    <t>Forgot Password</t>
  </si>
  <si>
    <t>Reset link email</t>
  </si>
  <si>
    <t>Mail Server (SMTP) configured; UAT sends no real email (dry run)</t>
  </si>
  <si>
    <t>Login page &gt; Forgot password?; enter the user email</t>
  </si>
  <si>
    <t>Registered email</t>
  </si>
  <si>
    <t>Generic confirmation shown; Email Log lists the reset email as "DryRun"</t>
  </si>
  <si>
    <t>SEC-05</t>
  </si>
  <si>
    <t>Session</t>
  </si>
  <si>
    <t>Idle timeout</t>
  </si>
  <si>
    <t>Leave the app idle for 30 minutes, then click a menu</t>
  </si>
  <si>
    <t>Returned to the login page with an inactivity message</t>
  </si>
  <si>
    <t>SEC-06</t>
  </si>
  <si>
    <t>User Rights</t>
  </si>
  <si>
    <t>Screen permissions</t>
  </si>
  <si>
    <t>A non-admin user with View only on SD Master</t>
  </si>
  <si>
    <t>Log in as that user and open SD Master</t>
  </si>
  <si>
    <t>Test user</t>
  </si>
  <si>
    <t>Screen opens read-only: no Add / Upload / Delete; menus without View rights are hidden</t>
  </si>
  <si>
    <t>MST-01</t>
  </si>
  <si>
    <t>Cost Center Master</t>
  </si>
  <si>
    <t>Add / edit / delete a cost center</t>
  </si>
  <si>
    <t>User has rights</t>
  </si>
  <si>
    <t xml:space="preserve">1. Add a cost center
2. Edit its name
3. Delete it</t>
  </si>
  <si>
    <t>Name: UAT Test CC</t>
  </si>
  <si>
    <t>Code auto-generated (CC0001...); changes saved with success message; delete removes it; duplicate name rejected</t>
  </si>
  <si>
    <t>MST-02</t>
  </si>
  <si>
    <t>Bulk upload</t>
  </si>
  <si>
    <t>Download Template, fill 3 rows (one duplicate), Upload &amp; Validate</t>
  </si>
  <si>
    <t>Excel template</t>
  </si>
  <si>
    <t>Valid rows saved; duplicate row reported Failed with a reason; report downloadable</t>
  </si>
  <si>
    <t>MST-03</t>
  </si>
  <si>
    <t>Location Master</t>
  </si>
  <si>
    <t>Three-level hierarchy</t>
  </si>
  <si>
    <t>Add Level 1, then Level 2 under it, then Level 3 under Level 2</t>
  </si>
  <si>
    <t>Region / City / Building</t>
  </si>
  <si>
    <t>Each level saves; Level 2/3 dropdowns show only children of the chosen parent; names (no codes) shown</t>
  </si>
  <si>
    <t>MST-04</t>
  </si>
  <si>
    <t>User Master</t>
  </si>
  <si>
    <t>Create a user and reset password</t>
  </si>
  <si>
    <t>Admin</t>
  </si>
  <si>
    <t xml:space="preserve">1. Add user with email
2. Reset Password</t>
  </si>
  <si>
    <t>uat.user1 / email</t>
  </si>
  <si>
    <t>User created Active; reset sets a new password; user can log in</t>
  </si>
  <si>
    <t>MST-05</t>
  </si>
  <si>
    <t>User Rights Master</t>
  </si>
  <si>
    <t>Grant rights incl. Rent screens</t>
  </si>
  <si>
    <t>Admin; non-admin user exists</t>
  </si>
  <si>
    <t>Select the user; tick View/Add/Edit/Delete/Upload for Rent Master and the new report; Save</t>
  </si>
  <si>
    <t>Rights saved; that user now sees the Rent Transaction menu and the SD &amp; Rent report</t>
  </si>
  <si>
    <t>MST-06</t>
  </si>
  <si>
    <t>Email Notification Master</t>
  </si>
  <si>
    <t>Edit a template</t>
  </si>
  <si>
    <t>Change trigger days, recipients and subject of Lease End Reminder; Save; check Preview</t>
  </si>
  <si>
    <t>30 days; uat@company.com</t>
  </si>
  <si>
    <t>Saved; live preview shows the new subject with sample data</t>
  </si>
  <si>
    <t>MST-07</t>
  </si>
  <si>
    <t>Mail Server (SMTP) settings</t>
  </si>
  <si>
    <t>Mail Server tab: enter SMTP host, port, user, password, sender; Test connection</t>
  </si>
  <si>
    <t>Office SMTP details</t>
  </si>
  <si>
    <t>Settings saved (password hidden); test reports success or a clear error</t>
  </si>
  <si>
    <t>SDM-01</t>
  </si>
  <si>
    <t>Add an SD record</t>
  </si>
  <si>
    <t>Cost center and locations exist</t>
  </si>
  <si>
    <t>Add SD Record; fill all mandatory fields; Save</t>
  </si>
  <si>
    <t>Floor 3, Agreement Value 10,00,000; LCD/RCD/LED dates</t>
  </si>
  <si>
    <t>SD Code auto-generated (SD000001...); record listed with amounts and dates DD/MM/YYYY</t>
  </si>
  <si>
    <t>SDM-02</t>
  </si>
  <si>
    <t>Validation messages</t>
  </si>
  <si>
    <t>Save with LED before LCD and Agreement Value "abc"</t>
  </si>
  <si>
    <t>All errors listed together; nothing saved</t>
  </si>
  <si>
    <t>SDM-03</t>
  </si>
  <si>
    <t>Duplicate Lease ID + Agreement No. + Floor</t>
  </si>
  <si>
    <t>An SD exists</t>
  </si>
  <si>
    <t>Add another SD with the same Lease ID, Agreement No. and Floor</t>
  </si>
  <si>
    <t>Rejected: "already used by SD..."</t>
  </si>
  <si>
    <t>SDM-04</t>
  </si>
  <si>
    <t>Multi-select filters and date preset</t>
  </si>
  <si>
    <t>Several SD records</t>
  </si>
  <si>
    <t>Filter by two cost centers and two Level 1 locations; set Lease End to "This Financial Year"</t>
  </si>
  <si>
    <t>Only matching records listed; Clear resets; Export to Excel gives the same rows</t>
  </si>
  <si>
    <t>SDM-05</t>
  </si>
  <si>
    <t>Passive status notification</t>
  </si>
  <si>
    <t>Template enabled</t>
  </si>
  <si>
    <t>Edit an SD and set Landlord Status to Passive</t>
  </si>
  <si>
    <t>Status history row added; Email Log shows the Passive alert (DryRun)</t>
  </si>
  <si>
    <t>SDM-06</t>
  </si>
  <si>
    <t>Bulk upload new and update rows</t>
  </si>
  <si>
    <t>Template with 2 new rows and 1 row with an existing SD Code changing only Floor</t>
  </si>
  <si>
    <t>New SD Codes created; existing record updated, blank cells keep their values</t>
  </si>
  <si>
    <t>SDT-01</t>
  </si>
  <si>
    <t>Add SD Paid</t>
  </si>
  <si>
    <t>SD record with Agreement Value 10,00,000</t>
  </si>
  <si>
    <t>Select the SD Code; Add Transaction: SD Paid 6,00,000</t>
  </si>
  <si>
    <t>FY 2026-2027</t>
  </si>
  <si>
    <t>Saved; SD Balance 4,00,000 and Repayable 6,00,000 shown in the sticky SD header</t>
  </si>
  <si>
    <t>SDT-02</t>
  </si>
  <si>
    <t>Paid above Agreement Value blocked</t>
  </si>
  <si>
    <t>As above</t>
  </si>
  <si>
    <t>Add SD Paid 5,00,000 more</t>
  </si>
  <si>
    <t>Rejected: total SD Paid cannot exceed Agreement Value</t>
  </si>
  <si>
    <t>SDT-03</t>
  </si>
  <si>
    <t>Refund / Transfer / Adjustment</t>
  </si>
  <si>
    <t>Paid 6,00,000</t>
  </si>
  <si>
    <t>Add Refund 1,00,000, then Transfer 50,000</t>
  </si>
  <si>
    <t>Repayable reduces to 4,50,000; a refund larger than Repayable is rejected</t>
  </si>
  <si>
    <t>SDT-04</t>
  </si>
  <si>
    <t>Passive SD blocked</t>
  </si>
  <si>
    <t>SD with Passive status</t>
  </si>
  <si>
    <t>Try to add a transaction</t>
  </si>
  <si>
    <t>Add Transaction disabled with an explanation</t>
  </si>
  <si>
    <t>SDT-05</t>
  </si>
  <si>
    <t>Bulk upload transactions</t>
  </si>
  <si>
    <t>Template with valid rows and one row over the Agreement Value</t>
  </si>
  <si>
    <t>Valid rows saved; over-limit row Failed with the reason</t>
  </si>
  <si>
    <t>SDR-01</t>
  </si>
  <si>
    <t>SD Balance Report</t>
  </si>
  <si>
    <t>Totals and export</t>
  </si>
  <si>
    <t>Transactions exist</t>
  </si>
  <si>
    <t>Open the report; filter by cost center; Export to Excel</t>
  </si>
  <si>
    <t>Per-SD balances; totals row matches; export contains the same rows</t>
  </si>
  <si>
    <t>SDR-02</t>
  </si>
  <si>
    <t>SD Dashboard</t>
  </si>
  <si>
    <t>KPIs, alerts and charts</t>
  </si>
  <si>
    <t>Data exists</t>
  </si>
  <si>
    <t>Open Reports &gt; SD Dashboard; change filters; drill into a Level 1 location bar</t>
  </si>
  <si>
    <t>KPI cards, upcoming lease alerts (red/orange/green), charts and tables update with filters; drill-down shows Level 2</t>
  </si>
  <si>
    <t>SDR-03</t>
  </si>
  <si>
    <t>Quick actions and exports</t>
  </si>
  <si>
    <t>Use Add SD Master, Export to Excel and Export to PDF</t>
  </si>
  <si>
    <t>Add form opens on SD Master; Excel has one sheet per section; print dialog offers Save as PDF</t>
  </si>
  <si>
    <t>SDR-04</t>
  </si>
  <si>
    <t>Email Log / Audit Log</t>
  </si>
  <si>
    <t>Audit trail</t>
  </si>
  <si>
    <t>Changes made above</t>
  </si>
  <si>
    <t>Open Audit Log; filter by record type "SD Master"</t>
  </si>
  <si>
    <t>Each add/edit/delete/upload listed with user, time and old/new values</t>
  </si>
  <si>
    <t>RMS-01</t>
  </si>
  <si>
    <t>Create a Rent Code</t>
  </si>
  <si>
    <t>SD record with LCD, RCD and LED</t>
  </si>
  <si>
    <t>Rent Transaction &gt; Rent Master &gt; Add Rent Code; pick the SD Code; enter Landlord Name; Save</t>
  </si>
  <si>
    <t>Landlord: Venkat</t>
  </si>
  <si>
    <t>Rent Code RENT0001 generated; Cost Center, Floor, LCD, RCD, LED shown read-only from SD Master</t>
  </si>
  <si>
    <t>RMS-02</t>
  </si>
  <si>
    <t>Duplicate Business Key</t>
  </si>
  <si>
    <t>RENT0001 exists</t>
  </si>
  <si>
    <t>Add again with the same SD Code and Landlord Name (different case)</t>
  </si>
  <si>
    <t>venkat</t>
  </si>
  <si>
    <t>Rejected: Rent Code already exists for this Cost Center, SD Code, Floor and Landlord Name</t>
  </si>
  <si>
    <t>RMS-03</t>
  </si>
  <si>
    <t>SD without RCD / LED</t>
  </si>
  <si>
    <t>SD record without RCD or LED</t>
  </si>
  <si>
    <t>Try to create a Rent Code for it</t>
  </si>
  <si>
    <t>Rejected: update RCD / LED in SD Master first</t>
  </si>
  <si>
    <t>RMS-04</t>
  </si>
  <si>
    <t>Inactive with end date</t>
  </si>
  <si>
    <t>Rent Code with generated schedule</t>
  </si>
  <si>
    <t>Edit: LL Status = Inactive; enter Inactive End Date mid-month</t>
  </si>
  <si>
    <t>15/08/2027</t>
  </si>
  <si>
    <t>Inactive End Date is mandatory; schedule stops after that date; that month pro-rated</t>
  </si>
  <si>
    <t>RMS-05</t>
  </si>
  <si>
    <t>Template: 1 valid row, 1 row with a Floor that does not match SD Master, 1 duplicate</t>
  </si>
  <si>
    <t>Result file: Success (green) / Rejected (red) with Remark for each row</t>
  </si>
  <si>
    <t>RAG-01</t>
  </si>
  <si>
    <t>Rent Agreement Master</t>
  </si>
  <si>
    <t>Add agreement with components</t>
  </si>
  <si>
    <t>Rent Code exists</t>
  </si>
  <si>
    <t>Add Agreement; Individual; Office Rent 10000 Sq.Ft x 50 x 20%; Maintenance 40000 x 13 x 10%; Save</t>
  </si>
  <si>
    <t>As given</t>
  </si>
  <si>
    <t>Monthly amounts Rs 1,00,000 and Rs 52,000, total Rs 1,52,000 shown live; saved</t>
  </si>
  <si>
    <t>RAG-02</t>
  </si>
  <si>
    <t>Conditional mandatory fields</t>
  </si>
  <si>
    <t>Enter Office Rent Sq.Ft only and Save</t>
  </si>
  <si>
    <t>1000</t>
  </si>
  <si>
    <t>Errors: Rate and % required once Sq.Ft is entered</t>
  </si>
  <si>
    <t>RAG-03</t>
  </si>
  <si>
    <t>Signage / Solar (Rate per month)</t>
  </si>
  <si>
    <t>Signage Rate / Month 30,00,000 with 20%</t>
  </si>
  <si>
    <t>Monthly amount Rs 6,00,000 (no Sq.Ft needed)</t>
  </si>
  <si>
    <t>RAG-04</t>
  </si>
  <si>
    <t>One active agreement per Rent Code + status</t>
  </si>
  <si>
    <t>Active Individual agreement exists</t>
  </si>
  <si>
    <t>Add a second Active Individual agreement for the same Rent Code</t>
  </si>
  <si>
    <t>Rejected; make the first Inactive first</t>
  </si>
  <si>
    <t>RAG-05</t>
  </si>
  <si>
    <t>Locked once used</t>
  </si>
  <si>
    <t>A rule exists for the Rent Code</t>
  </si>
  <si>
    <t>Edit the agreement amounts; try Delete</t>
  </si>
  <si>
    <t>Only Status / Remark editable; delete blocked with a message</t>
  </si>
  <si>
    <t>RAG-06</t>
  </si>
  <si>
    <t>Transfer to a new landlord</t>
  </si>
  <si>
    <t>Second Rent Code on the same SD Code</t>
  </si>
  <si>
    <t>Add Agreement on the new Rent Code: Transfer, Transfer From = old Rent Code, Effective Date; leave components blank</t>
  </si>
  <si>
    <t>01/11/2026</t>
  </si>
  <si>
    <t>Components, rules and later waivers copied; old Rent Code rent stops the day before; new one starts on the date</t>
  </si>
  <si>
    <t>RAG-07</t>
  </si>
  <si>
    <t>Bulk upload / update</t>
  </si>
  <si>
    <t>Template rows for new agreements and an update of an existing Rent Code + status</t>
  </si>
  <si>
    <t>Result file with Success / Rejected and Remark</t>
  </si>
  <si>
    <t>RUL-01</t>
  </si>
  <si>
    <t>RCD escalation rule</t>
  </si>
  <si>
    <t>Active agreement</t>
  </si>
  <si>
    <t>Add Rule: RCD, Escalation Month 12, 5%</t>
  </si>
  <si>
    <t>RCD 15/01/2026</t>
  </si>
  <si>
    <t>Escalation date 15/01/2027 shown; schedule increases 5% from that date (mid-month pro-rated)</t>
  </si>
  <si>
    <t>RUL-02</t>
  </si>
  <si>
    <t>Second rule chains</t>
  </si>
  <si>
    <t>One RCD rule</t>
  </si>
  <si>
    <t>Add another RCD rule, 12 months, 5%</t>
  </si>
  <si>
    <t>Escalates 12 months after the previous escalation; compounding (1,05,000 -&gt; 1,10,250)</t>
  </si>
  <si>
    <t>RUL-03</t>
  </si>
  <si>
    <t>LED limit and LCD/RCD mixing</t>
  </si>
  <si>
    <t>RCD rule exists</t>
  </si>
  <si>
    <t>Add a rule escalating after the LED; add an LCD rule</t>
  </si>
  <si>
    <t>Both rejected with clear messages</t>
  </si>
  <si>
    <t>RUL-04</t>
  </si>
  <si>
    <t>Negative / zero percentage</t>
  </si>
  <si>
    <t>Add rules with -10% and 0%</t>
  </si>
  <si>
    <t>Accepted; -10% reduces rent, 0% keeps it</t>
  </si>
  <si>
    <t>RUL-05</t>
  </si>
  <si>
    <t>Normal Day rule</t>
  </si>
  <si>
    <t>Rule Type Normal Day, From / To dates, 10%</t>
  </si>
  <si>
    <t>01/06/2026 - 30/06/2026</t>
  </si>
  <si>
    <t>Rent +10% only for those days</t>
  </si>
  <si>
    <t>RUL-06</t>
  </si>
  <si>
    <t>Applies to several components</t>
  </si>
  <si>
    <t>Applies to: tick Office Rent and Cafe only</t>
  </si>
  <si>
    <t>Only those components escalate; list shows the selected components</t>
  </si>
  <si>
    <t>RUL-07</t>
  </si>
  <si>
    <t>Bulk upload with Yes/No columns</t>
  </si>
  <si>
    <t>Template: Applies to: Office Rent = Yes, others No; one row with all blank; one with "Maybe"</t>
  </si>
  <si>
    <t>Yes rows apply to selected components; all blank = all components; "Maybe" rejected</t>
  </si>
  <si>
    <t>WAV-01</t>
  </si>
  <si>
    <t>Rent-free period</t>
  </si>
  <si>
    <t>Add Waiver 01/01/2027 - 31/03/2027, Status Yes</t>
  </si>
  <si>
    <t>Jan-Mar 2027 rent becomes Rs 0 in the schedule</t>
  </si>
  <si>
    <t>WAV-02</t>
  </si>
  <si>
    <t>Overlap and range checks</t>
  </si>
  <si>
    <t>Waiver exists</t>
  </si>
  <si>
    <t>Add an overlapping waiver; a waiver ending after LED; From after To</t>
  </si>
  <si>
    <t>All rejected with messages</t>
  </si>
  <si>
    <t>WAV-03</t>
  </si>
  <si>
    <t>Switch a waiver off</t>
  </si>
  <si>
    <t>Waiver Yes exists</t>
  </si>
  <si>
    <t>Edit and set Waiver Status = No</t>
  </si>
  <si>
    <t>Normal rent returns for that period after regeneration</t>
  </si>
  <si>
    <t>WAV-04</t>
  </si>
  <si>
    <t>Waiver on selected components</t>
  </si>
  <si>
    <t>Applies to: Maintenance Charges only</t>
  </si>
  <si>
    <t>Only Maintenance becomes Rs 0; rent components still charged</t>
  </si>
  <si>
    <t>WAV-05</t>
  </si>
  <si>
    <t>Template with Yes/No Applies to columns; one row matching an existing waiver with Status No</t>
  </si>
  <si>
    <t>Existing waiver updated to No; results file Success / Rejected</t>
  </si>
  <si>
    <t>RSC-01</t>
  </si>
  <si>
    <t>Generate schedule</t>
  </si>
  <si>
    <t>Agreement, rule and waiver set up</t>
  </si>
  <si>
    <t>Choose the period (e.g. This Financial Year); Generate / Regenerate</t>
  </si>
  <si>
    <t>Month-wise lines per component; Maintenance from LCD, rent from RCD, ending at LED</t>
  </si>
  <si>
    <t>RSC-02</t>
  </si>
  <si>
    <t>Worked example (scope 6.4)</t>
  </si>
  <si>
    <t>LCD 01/01/2026, RCD 01/04/2026, LED 01/12/2026; 1000 x 10 x 10%; RCD rule 1 month 15%; waiver 01/10-30/10/2026</t>
  </si>
  <si>
    <t>Generate 2026</t>
  </si>
  <si>
    <t>Apr Rs 1,000; May-Sep Rs 1,150; Oct Rs 37.10 (31 Oct charged); Nov Rs 1,150; Dec Rs 37.10</t>
  </si>
  <si>
    <t>RSC-03</t>
  </si>
  <si>
    <t>Automatic regeneration</t>
  </si>
  <si>
    <t>Schedule generated</t>
  </si>
  <si>
    <t>Change a waiver or rule, then reopen Rent Schedule</t>
  </si>
  <si>
    <t>Future months recalculated automatically; generation history shows "Auto: ..."</t>
  </si>
  <si>
    <t>RSC-04</t>
  </si>
  <si>
    <t>Missing dates message</t>
  </si>
  <si>
    <t>Rent Code whose SD lost its LED</t>
  </si>
  <si>
    <t>Generate</t>
  </si>
  <si>
    <t>Message lists the Rent Code: LED is missing; others still generate</t>
  </si>
  <si>
    <t>RSC-05</t>
  </si>
  <si>
    <t>Filters, summaries and export</t>
  </si>
  <si>
    <t>Filter by landlord and Agreement Header; switch to By Cost Center; Export to Excel and PDF</t>
  </si>
  <si>
    <t>Totals match filters; summary views add up; Excel has lines and By Agreement Header sheet</t>
  </si>
  <si>
    <t>SRR-01</t>
  </si>
  <si>
    <t>SD &amp; Rent Transaction Summary</t>
  </si>
  <si>
    <t>Combined list</t>
  </si>
  <si>
    <t>SD transactions and a generated schedule exist</t>
  </si>
  <si>
    <t>Reports &gt; SD &amp; Rent Transaction Summary; period This Financial Year</t>
  </si>
  <si>
    <t>SD rows (Security Deposit) and Rent / Maintenance rows together with Cost Center, SD Code, Landlord, Floor, Rent Code, Expense Head, Effective Date, amount, Status</t>
  </si>
  <si>
    <t>SRR-02</t>
  </si>
  <si>
    <t>Filters</t>
  </si>
  <si>
    <t>Filter by Cost Center, Landlord, Floor, SD Code and Expense Head (several values)</t>
  </si>
  <si>
    <t>Only matching rows; totals tiles update</t>
  </si>
  <si>
    <t>SRR-03</t>
  </si>
  <si>
    <t>Summaries and export</t>
  </si>
  <si>
    <t>Views By Cost Center / Landlord / Expense Head; Export to Excel</t>
  </si>
  <si>
    <t>Summary totals equal the grand total; Excel has the list plus summary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</si>
</sst>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12302A"/>
      <sz val="16"/>
      <name val="Arial"/>
    </font>
    <font>
      <color rgb="FF66756E"/>
      <sz val="11"/>
      <name val="Arial"/>
    </font>
    <font>
      <b/>
      <sz val="10"/>
      <name val="Arial"/>
    </font>
    <font>
      <sz val="10"/>
      <name val="Arial"/>
    </font>
    <font>
      <b/>
      <i/>
      <sz val="10"/>
      <name val="Arial"/>
    </font>
    <font>
      <b/>
      <i/>
      <color rgb="FF3F4F47"/>
      <sz val="10"/>
      <name val="Arial"/>
    </font>
    <font>
      <i/>
      <color rgb="FF3F4F47"/>
      <sz val="10"/>
      <name val="Arial"/>
    </font>
    <font>
      <b/>
      <color rgb="FF12302A"/>
      <sz val="14"/>
      <name val="Arial"/>
    </font>
    <font>
      <i/>
      <color rgb="FF66756E"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12302A"/>
      </patternFill>
    </fill>
  </fills>
  <borders count="2">
    <border>
      <left/>
      <right/>
      <top/>
      <bottom/>
      <diagonal/>
    </border>
    <border>
      <left style="thin">
        <color rgb="FFD2DAD6"/>
      </left>
      <right style="thin">
        <color rgb="FFD2DAD6"/>
      </right>
      <top style="thin">
        <color rgb="FFD2DAD6"/>
      </top>
      <bottom style="thin">
        <color rgb="FFD2DA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B45309"/>
      </font>
      <fill>
        <patternFill patternType="solid"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95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13</v>
      </c>
    </row>
    <row r="11" spans="2:3" x14ac:dyDescent="0.25">
      <c r="B11" s="3" t="s">
        <v>14</v>
      </c>
      <c r="C11" s="4" t="s">
        <v>15</v>
      </c>
    </row>
    <row r="12" spans="2:3" x14ac:dyDescent="0.25">
      <c r="B12" s="3" t="s">
        <v>16</v>
      </c>
      <c r="C12" s="4" t="s">
        <v>17</v>
      </c>
    </row>
    <row r="14" spans="2:2" x14ac:dyDescent="0.25">
      <c r="B14" s="5" t="s">
        <v>18</v>
      </c>
    </row>
    <row r="15" spans="2:3" x14ac:dyDescent="0.25">
      <c r="B15" s="6" t="s">
        <v>19</v>
      </c>
      <c r="C15" s="7" t="s">
        <v>20</v>
      </c>
    </row>
    <row r="16" spans="2:3" x14ac:dyDescent="0.25">
      <c r="B16" s="6" t="s">
        <v>21</v>
      </c>
      <c r="C16" s="7" t="s">
        <v>22</v>
      </c>
    </row>
    <row r="17" spans="2:3" x14ac:dyDescent="0.25">
      <c r="B17" s="6" t="s">
        <v>23</v>
      </c>
      <c r="C17" s="7" t="s">
        <v>24</v>
      </c>
    </row>
    <row r="18" spans="2:3" x14ac:dyDescent="0.25">
      <c r="B18" s="6" t="s">
        <v>25</v>
      </c>
      <c r="C18" s="7" t="s">
        <v>26</v>
      </c>
    </row>
    <row r="19" spans="2:3" x14ac:dyDescent="0.25">
      <c r="B19" s="6" t="s">
        <v>27</v>
      </c>
      <c r="C19" s="7" t="s">
        <v>28</v>
      </c>
    </row>
    <row r="20" spans="2:3" x14ac:dyDescent="0.25">
      <c r="B20" s="6" t="s">
        <v>29</v>
      </c>
      <c r="C20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16" customWidth="1"/>
    <col min="3" max="3" width="22" customWidth="1"/>
    <col min="4" max="4" width="30" customWidth="1"/>
    <col min="5" max="5" width="26" customWidth="1"/>
    <col min="6" max="6" width="48" customWidth="1"/>
    <col min="7" max="7" width="22" customWidth="1"/>
    <col min="8" max="8" width="46" customWidth="1"/>
    <col min="9" max="9" width="34" customWidth="1"/>
    <col min="10" max="11" width="11" customWidth="1"/>
    <col min="12" max="12" width="14" customWidth="1"/>
    <col min="13" max="13" width="12" customWidth="1"/>
    <col min="14" max="14" width="34" customWidth="1"/>
  </cols>
  <sheetData>
    <row r="1" ht="30" customHeight="1" spans="1:14" x14ac:dyDescent="0.25">
      <c r="A1" s="18" t="s">
        <v>56</v>
      </c>
      <c r="B1" s="18" t="s">
        <v>33</v>
      </c>
      <c r="C1" s="18" t="s">
        <v>57</v>
      </c>
      <c r="D1" s="18" t="s">
        <v>58</v>
      </c>
      <c r="E1" s="18" t="s">
        <v>59</v>
      </c>
      <c r="F1" s="18" t="s">
        <v>60</v>
      </c>
      <c r="G1" s="18" t="s">
        <v>61</v>
      </c>
      <c r="H1" s="18" t="s">
        <v>62</v>
      </c>
      <c r="I1" s="18" t="s">
        <v>19</v>
      </c>
      <c r="J1" s="18" t="s">
        <v>21</v>
      </c>
      <c r="K1" s="18" t="s">
        <v>23</v>
      </c>
      <c r="L1" s="18" t="s">
        <v>25</v>
      </c>
      <c r="M1" s="18" t="s">
        <v>27</v>
      </c>
      <c r="N1" s="18" t="s">
        <v>29</v>
      </c>
    </row>
    <row r="2" spans="1:14" x14ac:dyDescent="0.25">
      <c r="A2" s="19" t="s">
        <v>63</v>
      </c>
      <c r="B2" s="19" t="s">
        <v>39</v>
      </c>
      <c r="C2" s="19" t="s">
        <v>4</v>
      </c>
      <c r="D2" s="19" t="s">
        <v>64</v>
      </c>
      <c r="E2" s="19" t="s">
        <v>65</v>
      </c>
      <c r="F2" s="19" t="s">
        <v>66</v>
      </c>
      <c r="G2" s="19" t="s">
        <v>67</v>
      </c>
      <c r="H2" s="19" t="s">
        <v>68</v>
      </c>
      <c r="I2" s="20" t="s">
        <v>69</v>
      </c>
      <c r="J2" s="20" t="s">
        <v>37</v>
      </c>
      <c r="K2" s="20" t="s">
        <v>69</v>
      </c>
      <c r="L2" s="20" t="s">
        <v>69</v>
      </c>
      <c r="M2" s="21" t="s">
        <v>69</v>
      </c>
      <c r="N2" s="20" t="s">
        <v>69</v>
      </c>
    </row>
    <row r="3" spans="1:14" x14ac:dyDescent="0.25">
      <c r="A3" s="19" t="s">
        <v>70</v>
      </c>
      <c r="B3" s="19" t="s">
        <v>39</v>
      </c>
      <c r="C3" s="19" t="s">
        <v>71</v>
      </c>
      <c r="D3" s="19" t="s">
        <v>72</v>
      </c>
      <c r="E3" s="19" t="s">
        <v>73</v>
      </c>
      <c r="F3" s="19" t="s">
        <v>74</v>
      </c>
      <c r="G3" s="19" t="s">
        <v>75</v>
      </c>
      <c r="H3" s="19" t="s">
        <v>76</v>
      </c>
      <c r="I3" s="20" t="s">
        <v>69</v>
      </c>
      <c r="J3" s="20" t="s">
        <v>37</v>
      </c>
      <c r="K3" s="20" t="s">
        <v>69</v>
      </c>
      <c r="L3" s="20" t="s">
        <v>69</v>
      </c>
      <c r="M3" s="21" t="s">
        <v>69</v>
      </c>
      <c r="N3" s="20" t="s">
        <v>69</v>
      </c>
    </row>
    <row r="4" spans="1:14" x14ac:dyDescent="0.25">
      <c r="A4" s="19" t="s">
        <v>77</v>
      </c>
      <c r="B4" s="19" t="s">
        <v>39</v>
      </c>
      <c r="C4" s="19" t="s">
        <v>71</v>
      </c>
      <c r="D4" s="19" t="s">
        <v>78</v>
      </c>
      <c r="E4" s="19" t="s">
        <v>79</v>
      </c>
      <c r="F4" s="19" t="s">
        <v>80</v>
      </c>
      <c r="G4" s="19" t="s">
        <v>81</v>
      </c>
      <c r="H4" s="19" t="s">
        <v>82</v>
      </c>
      <c r="I4" s="20" t="s">
        <v>69</v>
      </c>
      <c r="J4" s="20" t="s">
        <v>37</v>
      </c>
      <c r="K4" s="20" t="s">
        <v>69</v>
      </c>
      <c r="L4" s="20" t="s">
        <v>69</v>
      </c>
      <c r="M4" s="21" t="s">
        <v>69</v>
      </c>
      <c r="N4" s="20" t="s">
        <v>69</v>
      </c>
    </row>
    <row r="5" spans="1:14" x14ac:dyDescent="0.25">
      <c r="A5" s="19" t="s">
        <v>83</v>
      </c>
      <c r="B5" s="19" t="s">
        <v>39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20" t="s">
        <v>69</v>
      </c>
      <c r="J5" s="20" t="s">
        <v>37</v>
      </c>
      <c r="K5" s="20" t="s">
        <v>69</v>
      </c>
      <c r="L5" s="20" t="s">
        <v>69</v>
      </c>
      <c r="M5" s="21" t="s">
        <v>69</v>
      </c>
      <c r="N5" s="20" t="s">
        <v>69</v>
      </c>
    </row>
    <row r="6" spans="1:14" x14ac:dyDescent="0.25">
      <c r="A6" s="19" t="s">
        <v>90</v>
      </c>
      <c r="B6" s="19" t="s">
        <v>39</v>
      </c>
      <c r="C6" s="19" t="s">
        <v>71</v>
      </c>
      <c r="D6" s="19" t="s">
        <v>91</v>
      </c>
      <c r="E6" s="19" t="s">
        <v>92</v>
      </c>
      <c r="F6" s="19" t="s">
        <v>93</v>
      </c>
      <c r="G6" s="19" t="s">
        <v>94</v>
      </c>
      <c r="H6" s="19" t="s">
        <v>95</v>
      </c>
      <c r="I6" s="20" t="s">
        <v>69</v>
      </c>
      <c r="J6" s="20" t="s">
        <v>37</v>
      </c>
      <c r="K6" s="20" t="s">
        <v>69</v>
      </c>
      <c r="L6" s="20" t="s">
        <v>69</v>
      </c>
      <c r="M6" s="21" t="s">
        <v>69</v>
      </c>
      <c r="N6" s="20" t="s">
        <v>69</v>
      </c>
    </row>
    <row r="7" spans="1:14" x14ac:dyDescent="0.25">
      <c r="A7" s="19" t="s">
        <v>96</v>
      </c>
      <c r="B7" s="19" t="s">
        <v>39</v>
      </c>
      <c r="C7" s="19" t="s">
        <v>71</v>
      </c>
      <c r="D7" s="19" t="s">
        <v>97</v>
      </c>
      <c r="E7" s="19" t="s">
        <v>98</v>
      </c>
      <c r="F7" s="19" t="s">
        <v>99</v>
      </c>
      <c r="G7" s="19" t="s">
        <v>100</v>
      </c>
      <c r="H7" s="19" t="s">
        <v>101</v>
      </c>
      <c r="I7" s="20" t="s">
        <v>69</v>
      </c>
      <c r="J7" s="20" t="s">
        <v>37</v>
      </c>
      <c r="K7" s="20" t="s">
        <v>69</v>
      </c>
      <c r="L7" s="20" t="s">
        <v>69</v>
      </c>
      <c r="M7" s="21" t="s">
        <v>69</v>
      </c>
      <c r="N7" s="20" t="s">
        <v>69</v>
      </c>
    </row>
    <row r="8" spans="1:14" x14ac:dyDescent="0.25">
      <c r="A8" s="19" t="s">
        <v>102</v>
      </c>
      <c r="B8" s="19" t="s">
        <v>39</v>
      </c>
      <c r="C8" s="19" t="s">
        <v>103</v>
      </c>
      <c r="D8" s="19" t="s">
        <v>104</v>
      </c>
      <c r="E8" s="19" t="s">
        <v>105</v>
      </c>
      <c r="F8" s="19" t="s">
        <v>106</v>
      </c>
      <c r="G8" s="19" t="s">
        <v>88</v>
      </c>
      <c r="H8" s="19" t="s">
        <v>107</v>
      </c>
      <c r="I8" s="20" t="s">
        <v>69</v>
      </c>
      <c r="J8" s="20" t="s">
        <v>37</v>
      </c>
      <c r="K8" s="20" t="s">
        <v>69</v>
      </c>
      <c r="L8" s="20" t="s">
        <v>69</v>
      </c>
      <c r="M8" s="21" t="s">
        <v>69</v>
      </c>
      <c r="N8" s="20" t="s">
        <v>69</v>
      </c>
    </row>
    <row r="9" spans="1:14" x14ac:dyDescent="0.25">
      <c r="A9" s="19" t="s">
        <v>108</v>
      </c>
      <c r="B9" s="19" t="s">
        <v>39</v>
      </c>
      <c r="C9" s="19" t="s">
        <v>109</v>
      </c>
      <c r="D9" s="19" t="s">
        <v>110</v>
      </c>
      <c r="E9" s="19" t="s">
        <v>105</v>
      </c>
      <c r="F9" s="19" t="s">
        <v>111</v>
      </c>
      <c r="G9" s="19" t="s">
        <v>88</v>
      </c>
      <c r="H9" s="19" t="s">
        <v>112</v>
      </c>
      <c r="I9" s="20" t="s">
        <v>69</v>
      </c>
      <c r="J9" s="20" t="s">
        <v>37</v>
      </c>
      <c r="K9" s="20" t="s">
        <v>69</v>
      </c>
      <c r="L9" s="20" t="s">
        <v>69</v>
      </c>
      <c r="M9" s="21" t="s">
        <v>69</v>
      </c>
      <c r="N9" s="20" t="s">
        <v>69</v>
      </c>
    </row>
    <row r="10" spans="1:14" x14ac:dyDescent="0.25">
      <c r="A10" s="19" t="s">
        <v>113</v>
      </c>
      <c r="B10" s="19" t="s">
        <v>40</v>
      </c>
      <c r="C10" s="19" t="s">
        <v>114</v>
      </c>
      <c r="D10" s="19" t="s">
        <v>115</v>
      </c>
      <c r="E10" s="19" t="s">
        <v>116</v>
      </c>
      <c r="F10" s="19" t="s">
        <v>117</v>
      </c>
      <c r="G10" s="19" t="s">
        <v>118</v>
      </c>
      <c r="H10" s="19" t="s">
        <v>119</v>
      </c>
      <c r="I10" s="20" t="s">
        <v>69</v>
      </c>
      <c r="J10" s="20" t="s">
        <v>37</v>
      </c>
      <c r="K10" s="20" t="s">
        <v>69</v>
      </c>
      <c r="L10" s="20" t="s">
        <v>69</v>
      </c>
      <c r="M10" s="21" t="s">
        <v>69</v>
      </c>
      <c r="N10" s="20" t="s">
        <v>69</v>
      </c>
    </row>
    <row r="11" spans="1:14" x14ac:dyDescent="0.25">
      <c r="A11" s="19" t="s">
        <v>120</v>
      </c>
      <c r="B11" s="19" t="s">
        <v>40</v>
      </c>
      <c r="C11" s="19" t="s">
        <v>114</v>
      </c>
      <c r="D11" s="19" t="s">
        <v>121</v>
      </c>
      <c r="E11" s="19" t="s">
        <v>88</v>
      </c>
      <c r="F11" s="19" t="s">
        <v>122</v>
      </c>
      <c r="G11" s="19" t="s">
        <v>123</v>
      </c>
      <c r="H11" s="19" t="s">
        <v>124</v>
      </c>
      <c r="I11" s="20" t="s">
        <v>69</v>
      </c>
      <c r="J11" s="20" t="s">
        <v>37</v>
      </c>
      <c r="K11" s="20" t="s">
        <v>69</v>
      </c>
      <c r="L11" s="20" t="s">
        <v>69</v>
      </c>
      <c r="M11" s="21" t="s">
        <v>69</v>
      </c>
      <c r="N11" s="20" t="s">
        <v>69</v>
      </c>
    </row>
    <row r="12" spans="1:14" x14ac:dyDescent="0.25">
      <c r="A12" s="19" t="s">
        <v>125</v>
      </c>
      <c r="B12" s="19" t="s">
        <v>40</v>
      </c>
      <c r="C12" s="19" t="s">
        <v>126</v>
      </c>
      <c r="D12" s="19" t="s">
        <v>127</v>
      </c>
      <c r="E12" s="19" t="s">
        <v>128</v>
      </c>
      <c r="F12" s="19" t="s">
        <v>129</v>
      </c>
      <c r="G12" s="19" t="s">
        <v>130</v>
      </c>
      <c r="H12" s="19" t="s">
        <v>131</v>
      </c>
      <c r="I12" s="20" t="s">
        <v>69</v>
      </c>
      <c r="J12" s="20" t="s">
        <v>37</v>
      </c>
      <c r="K12" s="20" t="s">
        <v>69</v>
      </c>
      <c r="L12" s="20" t="s">
        <v>69</v>
      </c>
      <c r="M12" s="21" t="s">
        <v>69</v>
      </c>
      <c r="N12" s="20" t="s">
        <v>69</v>
      </c>
    </row>
    <row r="13" spans="1:14" x14ac:dyDescent="0.25">
      <c r="A13" s="19" t="s">
        <v>132</v>
      </c>
      <c r="B13" s="19" t="s">
        <v>40</v>
      </c>
      <c r="C13" s="19" t="s">
        <v>133</v>
      </c>
      <c r="D13" s="19" t="s">
        <v>134</v>
      </c>
      <c r="E13" s="19" t="s">
        <v>135</v>
      </c>
      <c r="F13" s="19" t="s">
        <v>136</v>
      </c>
      <c r="G13" s="19" t="s">
        <v>137</v>
      </c>
      <c r="H13" s="19" t="s">
        <v>138</v>
      </c>
      <c r="I13" s="20" t="s">
        <v>69</v>
      </c>
      <c r="J13" s="20" t="s">
        <v>37</v>
      </c>
      <c r="K13" s="20" t="s">
        <v>69</v>
      </c>
      <c r="L13" s="20" t="s">
        <v>69</v>
      </c>
      <c r="M13" s="21" t="s">
        <v>69</v>
      </c>
      <c r="N13" s="20" t="s">
        <v>69</v>
      </c>
    </row>
    <row r="14" spans="1:14" x14ac:dyDescent="0.25">
      <c r="A14" s="19" t="s">
        <v>139</v>
      </c>
      <c r="B14" s="19" t="s">
        <v>40</v>
      </c>
      <c r="C14" s="19" t="s">
        <v>140</v>
      </c>
      <c r="D14" s="19" t="s">
        <v>141</v>
      </c>
      <c r="E14" s="19" t="s">
        <v>128</v>
      </c>
      <c r="F14" s="19" t="s">
        <v>142</v>
      </c>
      <c r="G14" s="19" t="s">
        <v>88</v>
      </c>
      <c r="H14" s="19" t="s">
        <v>143</v>
      </c>
      <c r="I14" s="20" t="s">
        <v>69</v>
      </c>
      <c r="J14" s="20" t="s">
        <v>37</v>
      </c>
      <c r="K14" s="20" t="s">
        <v>69</v>
      </c>
      <c r="L14" s="20" t="s">
        <v>69</v>
      </c>
      <c r="M14" s="21" t="s">
        <v>69</v>
      </c>
      <c r="N14" s="20" t="s">
        <v>69</v>
      </c>
    </row>
    <row r="15" spans="1:14" x14ac:dyDescent="0.25">
      <c r="A15" s="19" t="s">
        <v>144</v>
      </c>
      <c r="B15" s="19" t="s">
        <v>40</v>
      </c>
      <c r="C15" s="19" t="s">
        <v>145</v>
      </c>
      <c r="D15" s="19" t="s">
        <v>146</v>
      </c>
      <c r="E15" s="19" t="s">
        <v>147</v>
      </c>
      <c r="F15" s="19" t="s">
        <v>148</v>
      </c>
      <c r="G15" s="19" t="s">
        <v>149</v>
      </c>
      <c r="H15" s="19" t="s">
        <v>150</v>
      </c>
      <c r="I15" s="20" t="s">
        <v>69</v>
      </c>
      <c r="J15" s="20" t="s">
        <v>37</v>
      </c>
      <c r="K15" s="20" t="s">
        <v>69</v>
      </c>
      <c r="L15" s="20" t="s">
        <v>69</v>
      </c>
      <c r="M15" s="21" t="s">
        <v>69</v>
      </c>
      <c r="N15" s="20" t="s">
        <v>69</v>
      </c>
    </row>
    <row r="16" spans="1:14" x14ac:dyDescent="0.25">
      <c r="A16" s="19" t="s">
        <v>151</v>
      </c>
      <c r="B16" s="19" t="s">
        <v>41</v>
      </c>
      <c r="C16" s="19" t="s">
        <v>152</v>
      </c>
      <c r="D16" s="19" t="s">
        <v>153</v>
      </c>
      <c r="E16" s="19" t="s">
        <v>154</v>
      </c>
      <c r="F16" s="19" t="s">
        <v>155</v>
      </c>
      <c r="G16" s="19" t="s">
        <v>156</v>
      </c>
      <c r="H16" s="19" t="s">
        <v>157</v>
      </c>
      <c r="I16" s="20" t="s">
        <v>69</v>
      </c>
      <c r="J16" s="20" t="s">
        <v>37</v>
      </c>
      <c r="K16" s="20" t="s">
        <v>69</v>
      </c>
      <c r="L16" s="20" t="s">
        <v>69</v>
      </c>
      <c r="M16" s="21" t="s">
        <v>69</v>
      </c>
      <c r="N16" s="20" t="s">
        <v>69</v>
      </c>
    </row>
    <row r="17" spans="1:14" x14ac:dyDescent="0.25">
      <c r="A17" s="19" t="s">
        <v>158</v>
      </c>
      <c r="B17" s="19" t="s">
        <v>41</v>
      </c>
      <c r="C17" s="19" t="s">
        <v>152</v>
      </c>
      <c r="D17" s="19" t="s">
        <v>159</v>
      </c>
      <c r="E17" s="19" t="s">
        <v>88</v>
      </c>
      <c r="F17" s="19" t="s">
        <v>160</v>
      </c>
      <c r="G17" s="19" t="s">
        <v>161</v>
      </c>
      <c r="H17" s="19" t="s">
        <v>162</v>
      </c>
      <c r="I17" s="20" t="s">
        <v>69</v>
      </c>
      <c r="J17" s="20" t="s">
        <v>37</v>
      </c>
      <c r="K17" s="20" t="s">
        <v>69</v>
      </c>
      <c r="L17" s="20" t="s">
        <v>69</v>
      </c>
      <c r="M17" s="21" t="s">
        <v>69</v>
      </c>
      <c r="N17" s="20" t="s">
        <v>69</v>
      </c>
    </row>
    <row r="18" spans="1:14" x14ac:dyDescent="0.25">
      <c r="A18" s="19" t="s">
        <v>163</v>
      </c>
      <c r="B18" s="19" t="s">
        <v>41</v>
      </c>
      <c r="C18" s="19" t="s">
        <v>164</v>
      </c>
      <c r="D18" s="19" t="s">
        <v>165</v>
      </c>
      <c r="E18" s="19" t="s">
        <v>88</v>
      </c>
      <c r="F18" s="19" t="s">
        <v>166</v>
      </c>
      <c r="G18" s="19" t="s">
        <v>167</v>
      </c>
      <c r="H18" s="19" t="s">
        <v>168</v>
      </c>
      <c r="I18" s="20" t="s">
        <v>69</v>
      </c>
      <c r="J18" s="20" t="s">
        <v>37</v>
      </c>
      <c r="K18" s="20" t="s">
        <v>69</v>
      </c>
      <c r="L18" s="20" t="s">
        <v>69</v>
      </c>
      <c r="M18" s="21" t="s">
        <v>69</v>
      </c>
      <c r="N18" s="20" t="s">
        <v>69</v>
      </c>
    </row>
    <row r="19" spans="1:14" x14ac:dyDescent="0.25">
      <c r="A19" s="19" t="s">
        <v>169</v>
      </c>
      <c r="B19" s="19" t="s">
        <v>41</v>
      </c>
      <c r="C19" s="19" t="s">
        <v>170</v>
      </c>
      <c r="D19" s="19" t="s">
        <v>171</v>
      </c>
      <c r="E19" s="19" t="s">
        <v>172</v>
      </c>
      <c r="F19" s="19" t="s">
        <v>173</v>
      </c>
      <c r="G19" s="19" t="s">
        <v>174</v>
      </c>
      <c r="H19" s="19" t="s">
        <v>175</v>
      </c>
      <c r="I19" s="20" t="s">
        <v>69</v>
      </c>
      <c r="J19" s="20" t="s">
        <v>37</v>
      </c>
      <c r="K19" s="20" t="s">
        <v>69</v>
      </c>
      <c r="L19" s="20" t="s">
        <v>69</v>
      </c>
      <c r="M19" s="21" t="s">
        <v>69</v>
      </c>
      <c r="N19" s="20" t="s">
        <v>69</v>
      </c>
    </row>
    <row r="20" spans="1:14" x14ac:dyDescent="0.25">
      <c r="A20" s="19" t="s">
        <v>176</v>
      </c>
      <c r="B20" s="19" t="s">
        <v>41</v>
      </c>
      <c r="C20" s="19" t="s">
        <v>177</v>
      </c>
      <c r="D20" s="19" t="s">
        <v>178</v>
      </c>
      <c r="E20" s="19" t="s">
        <v>179</v>
      </c>
      <c r="F20" s="19" t="s">
        <v>180</v>
      </c>
      <c r="G20" s="19" t="s">
        <v>88</v>
      </c>
      <c r="H20" s="19" t="s">
        <v>181</v>
      </c>
      <c r="I20" s="20" t="s">
        <v>69</v>
      </c>
      <c r="J20" s="20" t="s">
        <v>37</v>
      </c>
      <c r="K20" s="20" t="s">
        <v>69</v>
      </c>
      <c r="L20" s="20" t="s">
        <v>69</v>
      </c>
      <c r="M20" s="21" t="s">
        <v>69</v>
      </c>
      <c r="N20" s="20" t="s">
        <v>69</v>
      </c>
    </row>
    <row r="21" spans="1:14" x14ac:dyDescent="0.25">
      <c r="A21" s="19" t="s">
        <v>182</v>
      </c>
      <c r="B21" s="19" t="s">
        <v>41</v>
      </c>
      <c r="C21" s="19" t="s">
        <v>183</v>
      </c>
      <c r="D21" s="19" t="s">
        <v>184</v>
      </c>
      <c r="E21" s="19" t="s">
        <v>172</v>
      </c>
      <c r="F21" s="19" t="s">
        <v>185</v>
      </c>
      <c r="G21" s="19" t="s">
        <v>186</v>
      </c>
      <c r="H21" s="19" t="s">
        <v>187</v>
      </c>
      <c r="I21" s="20" t="s">
        <v>69</v>
      </c>
      <c r="J21" s="20" t="s">
        <v>37</v>
      </c>
      <c r="K21" s="20" t="s">
        <v>69</v>
      </c>
      <c r="L21" s="20" t="s">
        <v>69</v>
      </c>
      <c r="M21" s="21" t="s">
        <v>69</v>
      </c>
      <c r="N21" s="20" t="s">
        <v>69</v>
      </c>
    </row>
    <row r="22" spans="1:14" x14ac:dyDescent="0.25">
      <c r="A22" s="19" t="s">
        <v>188</v>
      </c>
      <c r="B22" s="19" t="s">
        <v>41</v>
      </c>
      <c r="C22" s="19" t="s">
        <v>183</v>
      </c>
      <c r="D22" s="19" t="s">
        <v>189</v>
      </c>
      <c r="E22" s="19" t="s">
        <v>172</v>
      </c>
      <c r="F22" s="19" t="s">
        <v>190</v>
      </c>
      <c r="G22" s="19" t="s">
        <v>191</v>
      </c>
      <c r="H22" s="19" t="s">
        <v>192</v>
      </c>
      <c r="I22" s="20" t="s">
        <v>69</v>
      </c>
      <c r="J22" s="20" t="s">
        <v>37</v>
      </c>
      <c r="K22" s="20" t="s">
        <v>69</v>
      </c>
      <c r="L22" s="20" t="s">
        <v>69</v>
      </c>
      <c r="M22" s="21" t="s">
        <v>69</v>
      </c>
      <c r="N22" s="20" t="s">
        <v>69</v>
      </c>
    </row>
    <row r="23" spans="1:14" x14ac:dyDescent="0.25">
      <c r="A23" s="19" t="s">
        <v>193</v>
      </c>
      <c r="B23" s="19" t="s">
        <v>42</v>
      </c>
      <c r="C23" s="19" t="s">
        <v>42</v>
      </c>
      <c r="D23" s="19" t="s">
        <v>194</v>
      </c>
      <c r="E23" s="19" t="s">
        <v>195</v>
      </c>
      <c r="F23" s="19" t="s">
        <v>196</v>
      </c>
      <c r="G23" s="19" t="s">
        <v>197</v>
      </c>
      <c r="H23" s="19" t="s">
        <v>198</v>
      </c>
      <c r="I23" s="20" t="s">
        <v>69</v>
      </c>
      <c r="J23" s="20" t="s">
        <v>37</v>
      </c>
      <c r="K23" s="20" t="s">
        <v>69</v>
      </c>
      <c r="L23" s="20" t="s">
        <v>69</v>
      </c>
      <c r="M23" s="21" t="s">
        <v>69</v>
      </c>
      <c r="N23" s="20" t="s">
        <v>69</v>
      </c>
    </row>
    <row r="24" spans="1:14" x14ac:dyDescent="0.25">
      <c r="A24" s="19" t="s">
        <v>199</v>
      </c>
      <c r="B24" s="19" t="s">
        <v>42</v>
      </c>
      <c r="C24" s="19" t="s">
        <v>42</v>
      </c>
      <c r="D24" s="19" t="s">
        <v>200</v>
      </c>
      <c r="E24" s="19" t="s">
        <v>88</v>
      </c>
      <c r="F24" s="19" t="s">
        <v>201</v>
      </c>
      <c r="G24" s="19" t="s">
        <v>88</v>
      </c>
      <c r="H24" s="19" t="s">
        <v>202</v>
      </c>
      <c r="I24" s="20" t="s">
        <v>69</v>
      </c>
      <c r="J24" s="20" t="s">
        <v>37</v>
      </c>
      <c r="K24" s="20" t="s">
        <v>69</v>
      </c>
      <c r="L24" s="20" t="s">
        <v>69</v>
      </c>
      <c r="M24" s="21" t="s">
        <v>69</v>
      </c>
      <c r="N24" s="20" t="s">
        <v>69</v>
      </c>
    </row>
    <row r="25" spans="1:14" x14ac:dyDescent="0.25">
      <c r="A25" s="19" t="s">
        <v>203</v>
      </c>
      <c r="B25" s="19" t="s">
        <v>42</v>
      </c>
      <c r="C25" s="19" t="s">
        <v>42</v>
      </c>
      <c r="D25" s="19" t="s">
        <v>204</v>
      </c>
      <c r="E25" s="19" t="s">
        <v>205</v>
      </c>
      <c r="F25" s="19" t="s">
        <v>206</v>
      </c>
      <c r="G25" s="19" t="s">
        <v>88</v>
      </c>
      <c r="H25" s="19" t="s">
        <v>207</v>
      </c>
      <c r="I25" s="20" t="s">
        <v>69</v>
      </c>
      <c r="J25" s="20" t="s">
        <v>37</v>
      </c>
      <c r="K25" s="20" t="s">
        <v>69</v>
      </c>
      <c r="L25" s="20" t="s">
        <v>69</v>
      </c>
      <c r="M25" s="21" t="s">
        <v>69</v>
      </c>
      <c r="N25" s="20" t="s">
        <v>69</v>
      </c>
    </row>
    <row r="26" spans="1:14" x14ac:dyDescent="0.25">
      <c r="A26" s="19" t="s">
        <v>208</v>
      </c>
      <c r="B26" s="19" t="s">
        <v>42</v>
      </c>
      <c r="C26" s="19" t="s">
        <v>42</v>
      </c>
      <c r="D26" s="19" t="s">
        <v>209</v>
      </c>
      <c r="E26" s="19" t="s">
        <v>210</v>
      </c>
      <c r="F26" s="19" t="s">
        <v>211</v>
      </c>
      <c r="G26" s="19" t="s">
        <v>88</v>
      </c>
      <c r="H26" s="19" t="s">
        <v>212</v>
      </c>
      <c r="I26" s="20" t="s">
        <v>69</v>
      </c>
      <c r="J26" s="20" t="s">
        <v>37</v>
      </c>
      <c r="K26" s="20" t="s">
        <v>69</v>
      </c>
      <c r="L26" s="20" t="s">
        <v>69</v>
      </c>
      <c r="M26" s="21" t="s">
        <v>69</v>
      </c>
      <c r="N26" s="20" t="s">
        <v>69</v>
      </c>
    </row>
    <row r="27" spans="1:14" x14ac:dyDescent="0.25">
      <c r="A27" s="19" t="s">
        <v>213</v>
      </c>
      <c r="B27" s="19" t="s">
        <v>42</v>
      </c>
      <c r="C27" s="19" t="s">
        <v>42</v>
      </c>
      <c r="D27" s="19" t="s">
        <v>214</v>
      </c>
      <c r="E27" s="19" t="s">
        <v>215</v>
      </c>
      <c r="F27" s="19" t="s">
        <v>216</v>
      </c>
      <c r="G27" s="19" t="s">
        <v>88</v>
      </c>
      <c r="H27" s="19" t="s">
        <v>217</v>
      </c>
      <c r="I27" s="20" t="s">
        <v>69</v>
      </c>
      <c r="J27" s="20" t="s">
        <v>37</v>
      </c>
      <c r="K27" s="20" t="s">
        <v>69</v>
      </c>
      <c r="L27" s="20" t="s">
        <v>69</v>
      </c>
      <c r="M27" s="21" t="s">
        <v>69</v>
      </c>
      <c r="N27" s="20" t="s">
        <v>69</v>
      </c>
    </row>
    <row r="28" spans="1:14" x14ac:dyDescent="0.25">
      <c r="A28" s="19" t="s">
        <v>218</v>
      </c>
      <c r="B28" s="19" t="s">
        <v>42</v>
      </c>
      <c r="C28" s="19" t="s">
        <v>42</v>
      </c>
      <c r="D28" s="19" t="s">
        <v>219</v>
      </c>
      <c r="E28" s="19" t="s">
        <v>88</v>
      </c>
      <c r="F28" s="19" t="s">
        <v>220</v>
      </c>
      <c r="G28" s="19" t="s">
        <v>88</v>
      </c>
      <c r="H28" s="19" t="s">
        <v>221</v>
      </c>
      <c r="I28" s="20" t="s">
        <v>69</v>
      </c>
      <c r="J28" s="20" t="s">
        <v>37</v>
      </c>
      <c r="K28" s="20" t="s">
        <v>69</v>
      </c>
      <c r="L28" s="20" t="s">
        <v>69</v>
      </c>
      <c r="M28" s="21" t="s">
        <v>69</v>
      </c>
      <c r="N28" s="20" t="s">
        <v>69</v>
      </c>
    </row>
    <row r="29" spans="1:14" x14ac:dyDescent="0.25">
      <c r="A29" s="19" t="s">
        <v>222</v>
      </c>
      <c r="B29" s="19" t="s">
        <v>43</v>
      </c>
      <c r="C29" s="19" t="s">
        <v>43</v>
      </c>
      <c r="D29" s="19" t="s">
        <v>223</v>
      </c>
      <c r="E29" s="19" t="s">
        <v>224</v>
      </c>
      <c r="F29" s="19" t="s">
        <v>225</v>
      </c>
      <c r="G29" s="19" t="s">
        <v>226</v>
      </c>
      <c r="H29" s="19" t="s">
        <v>227</v>
      </c>
      <c r="I29" s="20" t="s">
        <v>69</v>
      </c>
      <c r="J29" s="20" t="s">
        <v>37</v>
      </c>
      <c r="K29" s="20" t="s">
        <v>69</v>
      </c>
      <c r="L29" s="20" t="s">
        <v>69</v>
      </c>
      <c r="M29" s="21" t="s">
        <v>69</v>
      </c>
      <c r="N29" s="20" t="s">
        <v>69</v>
      </c>
    </row>
    <row r="30" spans="1:14" x14ac:dyDescent="0.25">
      <c r="A30" s="19" t="s">
        <v>228</v>
      </c>
      <c r="B30" s="19" t="s">
        <v>43</v>
      </c>
      <c r="C30" s="19" t="s">
        <v>43</v>
      </c>
      <c r="D30" s="19" t="s">
        <v>229</v>
      </c>
      <c r="E30" s="19" t="s">
        <v>230</v>
      </c>
      <c r="F30" s="19" t="s">
        <v>231</v>
      </c>
      <c r="G30" s="19" t="s">
        <v>88</v>
      </c>
      <c r="H30" s="19" t="s">
        <v>232</v>
      </c>
      <c r="I30" s="20" t="s">
        <v>69</v>
      </c>
      <c r="J30" s="20" t="s">
        <v>37</v>
      </c>
      <c r="K30" s="20" t="s">
        <v>69</v>
      </c>
      <c r="L30" s="20" t="s">
        <v>69</v>
      </c>
      <c r="M30" s="21" t="s">
        <v>69</v>
      </c>
      <c r="N30" s="20" t="s">
        <v>69</v>
      </c>
    </row>
    <row r="31" spans="1:14" x14ac:dyDescent="0.25">
      <c r="A31" s="19" t="s">
        <v>233</v>
      </c>
      <c r="B31" s="19" t="s">
        <v>43</v>
      </c>
      <c r="C31" s="19" t="s">
        <v>43</v>
      </c>
      <c r="D31" s="19" t="s">
        <v>234</v>
      </c>
      <c r="E31" s="19" t="s">
        <v>235</v>
      </c>
      <c r="F31" s="19" t="s">
        <v>236</v>
      </c>
      <c r="G31" s="19" t="s">
        <v>88</v>
      </c>
      <c r="H31" s="19" t="s">
        <v>237</v>
      </c>
      <c r="I31" s="20" t="s">
        <v>69</v>
      </c>
      <c r="J31" s="20" t="s">
        <v>37</v>
      </c>
      <c r="K31" s="20" t="s">
        <v>69</v>
      </c>
      <c r="L31" s="20" t="s">
        <v>69</v>
      </c>
      <c r="M31" s="21" t="s">
        <v>69</v>
      </c>
      <c r="N31" s="20" t="s">
        <v>69</v>
      </c>
    </row>
    <row r="32" spans="1:14" x14ac:dyDescent="0.25">
      <c r="A32" s="19" t="s">
        <v>238</v>
      </c>
      <c r="B32" s="19" t="s">
        <v>43</v>
      </c>
      <c r="C32" s="19" t="s">
        <v>43</v>
      </c>
      <c r="D32" s="19" t="s">
        <v>239</v>
      </c>
      <c r="E32" s="19" t="s">
        <v>240</v>
      </c>
      <c r="F32" s="19" t="s">
        <v>241</v>
      </c>
      <c r="G32" s="19" t="s">
        <v>88</v>
      </c>
      <c r="H32" s="19" t="s">
        <v>242</v>
      </c>
      <c r="I32" s="20" t="s">
        <v>69</v>
      </c>
      <c r="J32" s="20" t="s">
        <v>37</v>
      </c>
      <c r="K32" s="20" t="s">
        <v>69</v>
      </c>
      <c r="L32" s="20" t="s">
        <v>69</v>
      </c>
      <c r="M32" s="21" t="s">
        <v>69</v>
      </c>
      <c r="N32" s="20" t="s">
        <v>69</v>
      </c>
    </row>
    <row r="33" spans="1:14" x14ac:dyDescent="0.25">
      <c r="A33" s="19" t="s">
        <v>243</v>
      </c>
      <c r="B33" s="19" t="s">
        <v>43</v>
      </c>
      <c r="C33" s="19" t="s">
        <v>43</v>
      </c>
      <c r="D33" s="19" t="s">
        <v>244</v>
      </c>
      <c r="E33" s="19" t="s">
        <v>88</v>
      </c>
      <c r="F33" s="19" t="s">
        <v>245</v>
      </c>
      <c r="G33" s="19" t="s">
        <v>88</v>
      </c>
      <c r="H33" s="19" t="s">
        <v>246</v>
      </c>
      <c r="I33" s="20" t="s">
        <v>69</v>
      </c>
      <c r="J33" s="20" t="s">
        <v>37</v>
      </c>
      <c r="K33" s="20" t="s">
        <v>69</v>
      </c>
      <c r="L33" s="20" t="s">
        <v>69</v>
      </c>
      <c r="M33" s="21" t="s">
        <v>69</v>
      </c>
      <c r="N33" s="20" t="s">
        <v>69</v>
      </c>
    </row>
    <row r="34" spans="1:14" x14ac:dyDescent="0.25">
      <c r="A34" s="19" t="s">
        <v>247</v>
      </c>
      <c r="B34" s="19" t="s">
        <v>44</v>
      </c>
      <c r="C34" s="19" t="s">
        <v>248</v>
      </c>
      <c r="D34" s="19" t="s">
        <v>249</v>
      </c>
      <c r="E34" s="19" t="s">
        <v>250</v>
      </c>
      <c r="F34" s="19" t="s">
        <v>251</v>
      </c>
      <c r="G34" s="19" t="s">
        <v>88</v>
      </c>
      <c r="H34" s="19" t="s">
        <v>252</v>
      </c>
      <c r="I34" s="20" t="s">
        <v>69</v>
      </c>
      <c r="J34" s="20" t="s">
        <v>37</v>
      </c>
      <c r="K34" s="20" t="s">
        <v>69</v>
      </c>
      <c r="L34" s="20" t="s">
        <v>69</v>
      </c>
      <c r="M34" s="21" t="s">
        <v>69</v>
      </c>
      <c r="N34" s="20" t="s">
        <v>69</v>
      </c>
    </row>
    <row r="35" spans="1:14" x14ac:dyDescent="0.25">
      <c r="A35" s="19" t="s">
        <v>253</v>
      </c>
      <c r="B35" s="19" t="s">
        <v>44</v>
      </c>
      <c r="C35" s="19" t="s">
        <v>254</v>
      </c>
      <c r="D35" s="19" t="s">
        <v>255</v>
      </c>
      <c r="E35" s="19" t="s">
        <v>256</v>
      </c>
      <c r="F35" s="19" t="s">
        <v>257</v>
      </c>
      <c r="G35" s="19" t="s">
        <v>88</v>
      </c>
      <c r="H35" s="19" t="s">
        <v>258</v>
      </c>
      <c r="I35" s="20" t="s">
        <v>69</v>
      </c>
      <c r="J35" s="20" t="s">
        <v>37</v>
      </c>
      <c r="K35" s="20" t="s">
        <v>69</v>
      </c>
      <c r="L35" s="20" t="s">
        <v>69</v>
      </c>
      <c r="M35" s="21" t="s">
        <v>69</v>
      </c>
      <c r="N35" s="20" t="s">
        <v>69</v>
      </c>
    </row>
    <row r="36" spans="1:14" x14ac:dyDescent="0.25">
      <c r="A36" s="19" t="s">
        <v>259</v>
      </c>
      <c r="B36" s="19" t="s">
        <v>44</v>
      </c>
      <c r="C36" s="19" t="s">
        <v>254</v>
      </c>
      <c r="D36" s="19" t="s">
        <v>260</v>
      </c>
      <c r="E36" s="19" t="s">
        <v>88</v>
      </c>
      <c r="F36" s="19" t="s">
        <v>261</v>
      </c>
      <c r="G36" s="19" t="s">
        <v>88</v>
      </c>
      <c r="H36" s="19" t="s">
        <v>262</v>
      </c>
      <c r="I36" s="20" t="s">
        <v>69</v>
      </c>
      <c r="J36" s="20" t="s">
        <v>37</v>
      </c>
      <c r="K36" s="20" t="s">
        <v>69</v>
      </c>
      <c r="L36" s="20" t="s">
        <v>69</v>
      </c>
      <c r="M36" s="21" t="s">
        <v>69</v>
      </c>
      <c r="N36" s="20" t="s">
        <v>69</v>
      </c>
    </row>
    <row r="37" spans="1:14" x14ac:dyDescent="0.25">
      <c r="A37" s="19" t="s">
        <v>263</v>
      </c>
      <c r="B37" s="19" t="s">
        <v>44</v>
      </c>
      <c r="C37" s="19" t="s">
        <v>264</v>
      </c>
      <c r="D37" s="19" t="s">
        <v>265</v>
      </c>
      <c r="E37" s="19" t="s">
        <v>266</v>
      </c>
      <c r="F37" s="19" t="s">
        <v>267</v>
      </c>
      <c r="G37" s="19" t="s">
        <v>88</v>
      </c>
      <c r="H37" s="19" t="s">
        <v>268</v>
      </c>
      <c r="I37" s="20" t="s">
        <v>69</v>
      </c>
      <c r="J37" s="20" t="s">
        <v>37</v>
      </c>
      <c r="K37" s="20" t="s">
        <v>69</v>
      </c>
      <c r="L37" s="20" t="s">
        <v>69</v>
      </c>
      <c r="M37" s="21" t="s">
        <v>69</v>
      </c>
      <c r="N37" s="20" t="s">
        <v>69</v>
      </c>
    </row>
    <row r="38" spans="1:14" x14ac:dyDescent="0.25">
      <c r="A38" s="19" t="s">
        <v>269</v>
      </c>
      <c r="B38" s="19" t="s">
        <v>45</v>
      </c>
      <c r="C38" s="19" t="s">
        <v>45</v>
      </c>
      <c r="D38" s="19" t="s">
        <v>270</v>
      </c>
      <c r="E38" s="19" t="s">
        <v>271</v>
      </c>
      <c r="F38" s="19" t="s">
        <v>272</v>
      </c>
      <c r="G38" s="19" t="s">
        <v>273</v>
      </c>
      <c r="H38" s="19" t="s">
        <v>274</v>
      </c>
      <c r="I38" s="20" t="s">
        <v>69</v>
      </c>
      <c r="J38" s="20" t="s">
        <v>37</v>
      </c>
      <c r="K38" s="20" t="s">
        <v>69</v>
      </c>
      <c r="L38" s="20" t="s">
        <v>69</v>
      </c>
      <c r="M38" s="21" t="s">
        <v>69</v>
      </c>
      <c r="N38" s="20" t="s">
        <v>69</v>
      </c>
    </row>
    <row r="39" spans="1:14" x14ac:dyDescent="0.25">
      <c r="A39" s="19" t="s">
        <v>275</v>
      </c>
      <c r="B39" s="19" t="s">
        <v>45</v>
      </c>
      <c r="C39" s="19" t="s">
        <v>45</v>
      </c>
      <c r="D39" s="19" t="s">
        <v>276</v>
      </c>
      <c r="E39" s="19" t="s">
        <v>277</v>
      </c>
      <c r="F39" s="19" t="s">
        <v>278</v>
      </c>
      <c r="G39" s="19" t="s">
        <v>279</v>
      </c>
      <c r="H39" s="19" t="s">
        <v>280</v>
      </c>
      <c r="I39" s="20" t="s">
        <v>69</v>
      </c>
      <c r="J39" s="20" t="s">
        <v>37</v>
      </c>
      <c r="K39" s="20" t="s">
        <v>69</v>
      </c>
      <c r="L39" s="20" t="s">
        <v>69</v>
      </c>
      <c r="M39" s="21" t="s">
        <v>69</v>
      </c>
      <c r="N39" s="20" t="s">
        <v>69</v>
      </c>
    </row>
    <row r="40" spans="1:14" x14ac:dyDescent="0.25">
      <c r="A40" s="19" t="s">
        <v>281</v>
      </c>
      <c r="B40" s="19" t="s">
        <v>45</v>
      </c>
      <c r="C40" s="19" t="s">
        <v>45</v>
      </c>
      <c r="D40" s="19" t="s">
        <v>282</v>
      </c>
      <c r="E40" s="19" t="s">
        <v>283</v>
      </c>
      <c r="F40" s="19" t="s">
        <v>284</v>
      </c>
      <c r="G40" s="19" t="s">
        <v>88</v>
      </c>
      <c r="H40" s="19" t="s">
        <v>285</v>
      </c>
      <c r="I40" s="20" t="s">
        <v>69</v>
      </c>
      <c r="J40" s="20" t="s">
        <v>37</v>
      </c>
      <c r="K40" s="20" t="s">
        <v>69</v>
      </c>
      <c r="L40" s="20" t="s">
        <v>69</v>
      </c>
      <c r="M40" s="21" t="s">
        <v>69</v>
      </c>
      <c r="N40" s="20" t="s">
        <v>69</v>
      </c>
    </row>
    <row r="41" spans="1:14" x14ac:dyDescent="0.25">
      <c r="A41" s="19" t="s">
        <v>286</v>
      </c>
      <c r="B41" s="19" t="s">
        <v>45</v>
      </c>
      <c r="C41" s="19" t="s">
        <v>45</v>
      </c>
      <c r="D41" s="19" t="s">
        <v>287</v>
      </c>
      <c r="E41" s="19" t="s">
        <v>288</v>
      </c>
      <c r="F41" s="19" t="s">
        <v>289</v>
      </c>
      <c r="G41" s="19" t="s">
        <v>290</v>
      </c>
      <c r="H41" s="19" t="s">
        <v>291</v>
      </c>
      <c r="I41" s="20" t="s">
        <v>69</v>
      </c>
      <c r="J41" s="20" t="s">
        <v>37</v>
      </c>
      <c r="K41" s="20" t="s">
        <v>69</v>
      </c>
      <c r="L41" s="20" t="s">
        <v>69</v>
      </c>
      <c r="M41" s="21" t="s">
        <v>69</v>
      </c>
      <c r="N41" s="20" t="s">
        <v>69</v>
      </c>
    </row>
    <row r="42" spans="1:14" x14ac:dyDescent="0.25">
      <c r="A42" s="19" t="s">
        <v>292</v>
      </c>
      <c r="B42" s="19" t="s">
        <v>45</v>
      </c>
      <c r="C42" s="19" t="s">
        <v>45</v>
      </c>
      <c r="D42" s="19" t="s">
        <v>159</v>
      </c>
      <c r="E42" s="19" t="s">
        <v>88</v>
      </c>
      <c r="F42" s="19" t="s">
        <v>293</v>
      </c>
      <c r="G42" s="19" t="s">
        <v>88</v>
      </c>
      <c r="H42" s="19" t="s">
        <v>294</v>
      </c>
      <c r="I42" s="20" t="s">
        <v>69</v>
      </c>
      <c r="J42" s="20" t="s">
        <v>37</v>
      </c>
      <c r="K42" s="20" t="s">
        <v>69</v>
      </c>
      <c r="L42" s="20" t="s">
        <v>69</v>
      </c>
      <c r="M42" s="21" t="s">
        <v>69</v>
      </c>
      <c r="N42" s="20" t="s">
        <v>69</v>
      </c>
    </row>
    <row r="43" spans="1:14" x14ac:dyDescent="0.25">
      <c r="A43" s="19" t="s">
        <v>295</v>
      </c>
      <c r="B43" s="19" t="s">
        <v>46</v>
      </c>
      <c r="C43" s="19" t="s">
        <v>296</v>
      </c>
      <c r="D43" s="19" t="s">
        <v>297</v>
      </c>
      <c r="E43" s="19" t="s">
        <v>298</v>
      </c>
      <c r="F43" s="19" t="s">
        <v>299</v>
      </c>
      <c r="G43" s="19" t="s">
        <v>300</v>
      </c>
      <c r="H43" s="19" t="s">
        <v>301</v>
      </c>
      <c r="I43" s="20" t="s">
        <v>69</v>
      </c>
      <c r="J43" s="20" t="s">
        <v>37</v>
      </c>
      <c r="K43" s="20" t="s">
        <v>69</v>
      </c>
      <c r="L43" s="20" t="s">
        <v>69</v>
      </c>
      <c r="M43" s="21" t="s">
        <v>69</v>
      </c>
      <c r="N43" s="20" t="s">
        <v>69</v>
      </c>
    </row>
    <row r="44" spans="1:14" x14ac:dyDescent="0.25">
      <c r="A44" s="19" t="s">
        <v>302</v>
      </c>
      <c r="B44" s="19" t="s">
        <v>46</v>
      </c>
      <c r="C44" s="19" t="s">
        <v>296</v>
      </c>
      <c r="D44" s="19" t="s">
        <v>303</v>
      </c>
      <c r="E44" s="19" t="s">
        <v>88</v>
      </c>
      <c r="F44" s="19" t="s">
        <v>304</v>
      </c>
      <c r="G44" s="19" t="s">
        <v>305</v>
      </c>
      <c r="H44" s="19" t="s">
        <v>306</v>
      </c>
      <c r="I44" s="20" t="s">
        <v>69</v>
      </c>
      <c r="J44" s="20" t="s">
        <v>37</v>
      </c>
      <c r="K44" s="20" t="s">
        <v>69</v>
      </c>
      <c r="L44" s="20" t="s">
        <v>69</v>
      </c>
      <c r="M44" s="21" t="s">
        <v>69</v>
      </c>
      <c r="N44" s="20" t="s">
        <v>69</v>
      </c>
    </row>
    <row r="45" spans="1:14" x14ac:dyDescent="0.25">
      <c r="A45" s="19" t="s">
        <v>307</v>
      </c>
      <c r="B45" s="19" t="s">
        <v>46</v>
      </c>
      <c r="C45" s="19" t="s">
        <v>296</v>
      </c>
      <c r="D45" s="19" t="s">
        <v>308</v>
      </c>
      <c r="E45" s="19" t="s">
        <v>88</v>
      </c>
      <c r="F45" s="19" t="s">
        <v>309</v>
      </c>
      <c r="G45" s="19" t="s">
        <v>88</v>
      </c>
      <c r="H45" s="19" t="s">
        <v>310</v>
      </c>
      <c r="I45" s="20" t="s">
        <v>69</v>
      </c>
      <c r="J45" s="20" t="s">
        <v>37</v>
      </c>
      <c r="K45" s="20" t="s">
        <v>69</v>
      </c>
      <c r="L45" s="20" t="s">
        <v>69</v>
      </c>
      <c r="M45" s="21" t="s">
        <v>69</v>
      </c>
      <c r="N45" s="20" t="s">
        <v>69</v>
      </c>
    </row>
    <row r="46" spans="1:14" x14ac:dyDescent="0.25">
      <c r="A46" s="19" t="s">
        <v>311</v>
      </c>
      <c r="B46" s="19" t="s">
        <v>46</v>
      </c>
      <c r="C46" s="19" t="s">
        <v>296</v>
      </c>
      <c r="D46" s="19" t="s">
        <v>312</v>
      </c>
      <c r="E46" s="19" t="s">
        <v>313</v>
      </c>
      <c r="F46" s="19" t="s">
        <v>314</v>
      </c>
      <c r="G46" s="19" t="s">
        <v>88</v>
      </c>
      <c r="H46" s="19" t="s">
        <v>315</v>
      </c>
      <c r="I46" s="20" t="s">
        <v>69</v>
      </c>
      <c r="J46" s="20" t="s">
        <v>37</v>
      </c>
      <c r="K46" s="20" t="s">
        <v>69</v>
      </c>
      <c r="L46" s="20" t="s">
        <v>69</v>
      </c>
      <c r="M46" s="21" t="s">
        <v>69</v>
      </c>
      <c r="N46" s="20" t="s">
        <v>69</v>
      </c>
    </row>
    <row r="47" spans="1:14" x14ac:dyDescent="0.25">
      <c r="A47" s="19" t="s">
        <v>316</v>
      </c>
      <c r="B47" s="19" t="s">
        <v>46</v>
      </c>
      <c r="C47" s="19" t="s">
        <v>296</v>
      </c>
      <c r="D47" s="19" t="s">
        <v>317</v>
      </c>
      <c r="E47" s="19" t="s">
        <v>318</v>
      </c>
      <c r="F47" s="19" t="s">
        <v>319</v>
      </c>
      <c r="G47" s="19" t="s">
        <v>88</v>
      </c>
      <c r="H47" s="19" t="s">
        <v>320</v>
      </c>
      <c r="I47" s="20" t="s">
        <v>69</v>
      </c>
      <c r="J47" s="20" t="s">
        <v>37</v>
      </c>
      <c r="K47" s="20" t="s">
        <v>69</v>
      </c>
      <c r="L47" s="20" t="s">
        <v>69</v>
      </c>
      <c r="M47" s="21" t="s">
        <v>69</v>
      </c>
      <c r="N47" s="20" t="s">
        <v>69</v>
      </c>
    </row>
    <row r="48" spans="1:14" x14ac:dyDescent="0.25">
      <c r="A48" s="19" t="s">
        <v>321</v>
      </c>
      <c r="B48" s="19" t="s">
        <v>46</v>
      </c>
      <c r="C48" s="19" t="s">
        <v>296</v>
      </c>
      <c r="D48" s="19" t="s">
        <v>322</v>
      </c>
      <c r="E48" s="19" t="s">
        <v>323</v>
      </c>
      <c r="F48" s="19" t="s">
        <v>324</v>
      </c>
      <c r="G48" s="19" t="s">
        <v>325</v>
      </c>
      <c r="H48" s="19" t="s">
        <v>326</v>
      </c>
      <c r="I48" s="20" t="s">
        <v>69</v>
      </c>
      <c r="J48" s="20" t="s">
        <v>37</v>
      </c>
      <c r="K48" s="20" t="s">
        <v>69</v>
      </c>
      <c r="L48" s="20" t="s">
        <v>69</v>
      </c>
      <c r="M48" s="21" t="s">
        <v>69</v>
      </c>
      <c r="N48" s="20" t="s">
        <v>69</v>
      </c>
    </row>
    <row r="49" spans="1:14" x14ac:dyDescent="0.25">
      <c r="A49" s="19" t="s">
        <v>327</v>
      </c>
      <c r="B49" s="19" t="s">
        <v>46</v>
      </c>
      <c r="C49" s="19" t="s">
        <v>296</v>
      </c>
      <c r="D49" s="19" t="s">
        <v>328</v>
      </c>
      <c r="E49" s="19" t="s">
        <v>88</v>
      </c>
      <c r="F49" s="19" t="s">
        <v>329</v>
      </c>
      <c r="G49" s="19" t="s">
        <v>88</v>
      </c>
      <c r="H49" s="19" t="s">
        <v>330</v>
      </c>
      <c r="I49" s="20" t="s">
        <v>69</v>
      </c>
      <c r="J49" s="20" t="s">
        <v>37</v>
      </c>
      <c r="K49" s="20" t="s">
        <v>69</v>
      </c>
      <c r="L49" s="20" t="s">
        <v>69</v>
      </c>
      <c r="M49" s="21" t="s">
        <v>69</v>
      </c>
      <c r="N49" s="20" t="s">
        <v>69</v>
      </c>
    </row>
    <row r="50" spans="1:14" x14ac:dyDescent="0.25">
      <c r="A50" s="19" t="s">
        <v>331</v>
      </c>
      <c r="B50" s="19" t="s">
        <v>47</v>
      </c>
      <c r="C50" s="19" t="s">
        <v>47</v>
      </c>
      <c r="D50" s="19" t="s">
        <v>332</v>
      </c>
      <c r="E50" s="19" t="s">
        <v>333</v>
      </c>
      <c r="F50" s="19" t="s">
        <v>334</v>
      </c>
      <c r="G50" s="19" t="s">
        <v>335</v>
      </c>
      <c r="H50" s="19" t="s">
        <v>336</v>
      </c>
      <c r="I50" s="20" t="s">
        <v>69</v>
      </c>
      <c r="J50" s="20" t="s">
        <v>37</v>
      </c>
      <c r="K50" s="20" t="s">
        <v>69</v>
      </c>
      <c r="L50" s="20" t="s">
        <v>69</v>
      </c>
      <c r="M50" s="21" t="s">
        <v>69</v>
      </c>
      <c r="N50" s="20" t="s">
        <v>69</v>
      </c>
    </row>
    <row r="51" spans="1:14" x14ac:dyDescent="0.25">
      <c r="A51" s="19" t="s">
        <v>337</v>
      </c>
      <c r="B51" s="19" t="s">
        <v>47</v>
      </c>
      <c r="C51" s="19" t="s">
        <v>47</v>
      </c>
      <c r="D51" s="19" t="s">
        <v>338</v>
      </c>
      <c r="E51" s="19" t="s">
        <v>339</v>
      </c>
      <c r="F51" s="19" t="s">
        <v>340</v>
      </c>
      <c r="G51" s="19" t="s">
        <v>88</v>
      </c>
      <c r="H51" s="19" t="s">
        <v>341</v>
      </c>
      <c r="I51" s="20" t="s">
        <v>69</v>
      </c>
      <c r="J51" s="20" t="s">
        <v>37</v>
      </c>
      <c r="K51" s="20" t="s">
        <v>69</v>
      </c>
      <c r="L51" s="20" t="s">
        <v>69</v>
      </c>
      <c r="M51" s="21" t="s">
        <v>69</v>
      </c>
      <c r="N51" s="20" t="s">
        <v>69</v>
      </c>
    </row>
    <row r="52" spans="1:14" x14ac:dyDescent="0.25">
      <c r="A52" s="19" t="s">
        <v>342</v>
      </c>
      <c r="B52" s="19" t="s">
        <v>47</v>
      </c>
      <c r="C52" s="19" t="s">
        <v>47</v>
      </c>
      <c r="D52" s="19" t="s">
        <v>343</v>
      </c>
      <c r="E52" s="19" t="s">
        <v>344</v>
      </c>
      <c r="F52" s="19" t="s">
        <v>345</v>
      </c>
      <c r="G52" s="19" t="s">
        <v>88</v>
      </c>
      <c r="H52" s="19" t="s">
        <v>346</v>
      </c>
      <c r="I52" s="20" t="s">
        <v>69</v>
      </c>
      <c r="J52" s="20" t="s">
        <v>37</v>
      </c>
      <c r="K52" s="20" t="s">
        <v>69</v>
      </c>
      <c r="L52" s="20" t="s">
        <v>69</v>
      </c>
      <c r="M52" s="21" t="s">
        <v>69</v>
      </c>
      <c r="N52" s="20" t="s">
        <v>69</v>
      </c>
    </row>
    <row r="53" spans="1:14" x14ac:dyDescent="0.25">
      <c r="A53" s="19" t="s">
        <v>347</v>
      </c>
      <c r="B53" s="19" t="s">
        <v>47</v>
      </c>
      <c r="C53" s="19" t="s">
        <v>47</v>
      </c>
      <c r="D53" s="19" t="s">
        <v>348</v>
      </c>
      <c r="E53" s="19" t="s">
        <v>88</v>
      </c>
      <c r="F53" s="19" t="s">
        <v>349</v>
      </c>
      <c r="G53" s="19" t="s">
        <v>88</v>
      </c>
      <c r="H53" s="19" t="s">
        <v>350</v>
      </c>
      <c r="I53" s="20" t="s">
        <v>69</v>
      </c>
      <c r="J53" s="20" t="s">
        <v>37</v>
      </c>
      <c r="K53" s="20" t="s">
        <v>69</v>
      </c>
      <c r="L53" s="20" t="s">
        <v>69</v>
      </c>
      <c r="M53" s="21" t="s">
        <v>69</v>
      </c>
      <c r="N53" s="20" t="s">
        <v>69</v>
      </c>
    </row>
    <row r="54" spans="1:14" x14ac:dyDescent="0.25">
      <c r="A54" s="19" t="s">
        <v>351</v>
      </c>
      <c r="B54" s="19" t="s">
        <v>47</v>
      </c>
      <c r="C54" s="19" t="s">
        <v>47</v>
      </c>
      <c r="D54" s="19" t="s">
        <v>352</v>
      </c>
      <c r="E54" s="19" t="s">
        <v>88</v>
      </c>
      <c r="F54" s="19" t="s">
        <v>353</v>
      </c>
      <c r="G54" s="19" t="s">
        <v>354</v>
      </c>
      <c r="H54" s="19" t="s">
        <v>355</v>
      </c>
      <c r="I54" s="20" t="s">
        <v>69</v>
      </c>
      <c r="J54" s="20" t="s">
        <v>37</v>
      </c>
      <c r="K54" s="20" t="s">
        <v>69</v>
      </c>
      <c r="L54" s="20" t="s">
        <v>69</v>
      </c>
      <c r="M54" s="21" t="s">
        <v>69</v>
      </c>
      <c r="N54" s="20" t="s">
        <v>69</v>
      </c>
    </row>
    <row r="55" spans="1:14" x14ac:dyDescent="0.25">
      <c r="A55" s="19" t="s">
        <v>356</v>
      </c>
      <c r="B55" s="19" t="s">
        <v>47</v>
      </c>
      <c r="C55" s="19" t="s">
        <v>47</v>
      </c>
      <c r="D55" s="19" t="s">
        <v>357</v>
      </c>
      <c r="E55" s="19" t="s">
        <v>88</v>
      </c>
      <c r="F55" s="19" t="s">
        <v>358</v>
      </c>
      <c r="G55" s="19" t="s">
        <v>88</v>
      </c>
      <c r="H55" s="19" t="s">
        <v>359</v>
      </c>
      <c r="I55" s="20" t="s">
        <v>69</v>
      </c>
      <c r="J55" s="20" t="s">
        <v>37</v>
      </c>
      <c r="K55" s="20" t="s">
        <v>69</v>
      </c>
      <c r="L55" s="20" t="s">
        <v>69</v>
      </c>
      <c r="M55" s="21" t="s">
        <v>69</v>
      </c>
      <c r="N55" s="20" t="s">
        <v>69</v>
      </c>
    </row>
    <row r="56" spans="1:14" x14ac:dyDescent="0.25">
      <c r="A56" s="19" t="s">
        <v>360</v>
      </c>
      <c r="B56" s="19" t="s">
        <v>47</v>
      </c>
      <c r="C56" s="19" t="s">
        <v>47</v>
      </c>
      <c r="D56" s="19" t="s">
        <v>361</v>
      </c>
      <c r="E56" s="19" t="s">
        <v>88</v>
      </c>
      <c r="F56" s="19" t="s">
        <v>362</v>
      </c>
      <c r="G56" s="19" t="s">
        <v>88</v>
      </c>
      <c r="H56" s="19" t="s">
        <v>363</v>
      </c>
      <c r="I56" s="20" t="s">
        <v>69</v>
      </c>
      <c r="J56" s="20" t="s">
        <v>37</v>
      </c>
      <c r="K56" s="20" t="s">
        <v>69</v>
      </c>
      <c r="L56" s="20" t="s">
        <v>69</v>
      </c>
      <c r="M56" s="21" t="s">
        <v>69</v>
      </c>
      <c r="N56" s="20" t="s">
        <v>69</v>
      </c>
    </row>
    <row r="57" spans="1:14" x14ac:dyDescent="0.25">
      <c r="A57" s="19" t="s">
        <v>364</v>
      </c>
      <c r="B57" s="19" t="s">
        <v>48</v>
      </c>
      <c r="C57" s="19" t="s">
        <v>48</v>
      </c>
      <c r="D57" s="19" t="s">
        <v>365</v>
      </c>
      <c r="E57" s="19" t="s">
        <v>333</v>
      </c>
      <c r="F57" s="19" t="s">
        <v>366</v>
      </c>
      <c r="G57" s="19" t="s">
        <v>88</v>
      </c>
      <c r="H57" s="19" t="s">
        <v>367</v>
      </c>
      <c r="I57" s="20" t="s">
        <v>69</v>
      </c>
      <c r="J57" s="20" t="s">
        <v>37</v>
      </c>
      <c r="K57" s="20" t="s">
        <v>69</v>
      </c>
      <c r="L57" s="20" t="s">
        <v>69</v>
      </c>
      <c r="M57" s="21" t="s">
        <v>69</v>
      </c>
      <c r="N57" s="20" t="s">
        <v>69</v>
      </c>
    </row>
    <row r="58" spans="1:14" x14ac:dyDescent="0.25">
      <c r="A58" s="19" t="s">
        <v>368</v>
      </c>
      <c r="B58" s="19" t="s">
        <v>48</v>
      </c>
      <c r="C58" s="19" t="s">
        <v>48</v>
      </c>
      <c r="D58" s="19" t="s">
        <v>369</v>
      </c>
      <c r="E58" s="19" t="s">
        <v>370</v>
      </c>
      <c r="F58" s="19" t="s">
        <v>371</v>
      </c>
      <c r="G58" s="19" t="s">
        <v>88</v>
      </c>
      <c r="H58" s="19" t="s">
        <v>372</v>
      </c>
      <c r="I58" s="20" t="s">
        <v>69</v>
      </c>
      <c r="J58" s="20" t="s">
        <v>37</v>
      </c>
      <c r="K58" s="20" t="s">
        <v>69</v>
      </c>
      <c r="L58" s="20" t="s">
        <v>69</v>
      </c>
      <c r="M58" s="21" t="s">
        <v>69</v>
      </c>
      <c r="N58" s="20" t="s">
        <v>69</v>
      </c>
    </row>
    <row r="59" spans="1:14" x14ac:dyDescent="0.25">
      <c r="A59" s="19" t="s">
        <v>373</v>
      </c>
      <c r="B59" s="19" t="s">
        <v>48</v>
      </c>
      <c r="C59" s="19" t="s">
        <v>48</v>
      </c>
      <c r="D59" s="19" t="s">
        <v>374</v>
      </c>
      <c r="E59" s="19" t="s">
        <v>375</v>
      </c>
      <c r="F59" s="19" t="s">
        <v>376</v>
      </c>
      <c r="G59" s="19" t="s">
        <v>88</v>
      </c>
      <c r="H59" s="19" t="s">
        <v>377</v>
      </c>
      <c r="I59" s="20" t="s">
        <v>69</v>
      </c>
      <c r="J59" s="20" t="s">
        <v>37</v>
      </c>
      <c r="K59" s="20" t="s">
        <v>69</v>
      </c>
      <c r="L59" s="20" t="s">
        <v>69</v>
      </c>
      <c r="M59" s="21" t="s">
        <v>69</v>
      </c>
      <c r="N59" s="20" t="s">
        <v>69</v>
      </c>
    </row>
    <row r="60" spans="1:14" x14ac:dyDescent="0.25">
      <c r="A60" s="19" t="s">
        <v>378</v>
      </c>
      <c r="B60" s="19" t="s">
        <v>48</v>
      </c>
      <c r="C60" s="19" t="s">
        <v>48</v>
      </c>
      <c r="D60" s="19" t="s">
        <v>379</v>
      </c>
      <c r="E60" s="19" t="s">
        <v>88</v>
      </c>
      <c r="F60" s="19" t="s">
        <v>380</v>
      </c>
      <c r="G60" s="19" t="s">
        <v>88</v>
      </c>
      <c r="H60" s="19" t="s">
        <v>381</v>
      </c>
      <c r="I60" s="20" t="s">
        <v>69</v>
      </c>
      <c r="J60" s="20" t="s">
        <v>37</v>
      </c>
      <c r="K60" s="20" t="s">
        <v>69</v>
      </c>
      <c r="L60" s="20" t="s">
        <v>69</v>
      </c>
      <c r="M60" s="21" t="s">
        <v>69</v>
      </c>
      <c r="N60" s="20" t="s">
        <v>69</v>
      </c>
    </row>
    <row r="61" spans="1:14" x14ac:dyDescent="0.25">
      <c r="A61" s="19" t="s">
        <v>382</v>
      </c>
      <c r="B61" s="19" t="s">
        <v>48</v>
      </c>
      <c r="C61" s="19" t="s">
        <v>48</v>
      </c>
      <c r="D61" s="19" t="s">
        <v>159</v>
      </c>
      <c r="E61" s="19" t="s">
        <v>88</v>
      </c>
      <c r="F61" s="19" t="s">
        <v>383</v>
      </c>
      <c r="G61" s="19" t="s">
        <v>88</v>
      </c>
      <c r="H61" s="19" t="s">
        <v>384</v>
      </c>
      <c r="I61" s="20" t="s">
        <v>69</v>
      </c>
      <c r="J61" s="20" t="s">
        <v>37</v>
      </c>
      <c r="K61" s="20" t="s">
        <v>69</v>
      </c>
      <c r="L61" s="20" t="s">
        <v>69</v>
      </c>
      <c r="M61" s="21" t="s">
        <v>69</v>
      </c>
      <c r="N61" s="20" t="s">
        <v>69</v>
      </c>
    </row>
    <row r="62" spans="1:14" x14ac:dyDescent="0.25">
      <c r="A62" s="19" t="s">
        <v>385</v>
      </c>
      <c r="B62" s="19" t="s">
        <v>49</v>
      </c>
      <c r="C62" s="19" t="s">
        <v>49</v>
      </c>
      <c r="D62" s="19" t="s">
        <v>386</v>
      </c>
      <c r="E62" s="19" t="s">
        <v>387</v>
      </c>
      <c r="F62" s="19" t="s">
        <v>388</v>
      </c>
      <c r="G62" s="19" t="s">
        <v>88</v>
      </c>
      <c r="H62" s="19" t="s">
        <v>389</v>
      </c>
      <c r="I62" s="20" t="s">
        <v>69</v>
      </c>
      <c r="J62" s="20" t="s">
        <v>37</v>
      </c>
      <c r="K62" s="20" t="s">
        <v>69</v>
      </c>
      <c r="L62" s="20" t="s">
        <v>69</v>
      </c>
      <c r="M62" s="21" t="s">
        <v>69</v>
      </c>
      <c r="N62" s="20" t="s">
        <v>69</v>
      </c>
    </row>
    <row r="63" spans="1:14" x14ac:dyDescent="0.25">
      <c r="A63" s="19" t="s">
        <v>390</v>
      </c>
      <c r="B63" s="19" t="s">
        <v>49</v>
      </c>
      <c r="C63" s="19" t="s">
        <v>49</v>
      </c>
      <c r="D63" s="19" t="s">
        <v>391</v>
      </c>
      <c r="E63" s="19" t="s">
        <v>392</v>
      </c>
      <c r="F63" s="19" t="s">
        <v>393</v>
      </c>
      <c r="G63" s="19" t="s">
        <v>88</v>
      </c>
      <c r="H63" s="19" t="s">
        <v>394</v>
      </c>
      <c r="I63" s="20" t="s">
        <v>69</v>
      </c>
      <c r="J63" s="20" t="s">
        <v>37</v>
      </c>
      <c r="K63" s="20" t="s">
        <v>69</v>
      </c>
      <c r="L63" s="20" t="s">
        <v>69</v>
      </c>
      <c r="M63" s="21" t="s">
        <v>69</v>
      </c>
      <c r="N63" s="20" t="s">
        <v>69</v>
      </c>
    </row>
    <row r="64" spans="1:14" x14ac:dyDescent="0.25">
      <c r="A64" s="19" t="s">
        <v>395</v>
      </c>
      <c r="B64" s="19" t="s">
        <v>49</v>
      </c>
      <c r="C64" s="19" t="s">
        <v>49</v>
      </c>
      <c r="D64" s="19" t="s">
        <v>396</v>
      </c>
      <c r="E64" s="19" t="s">
        <v>397</v>
      </c>
      <c r="F64" s="19" t="s">
        <v>398</v>
      </c>
      <c r="G64" s="19" t="s">
        <v>88</v>
      </c>
      <c r="H64" s="19" t="s">
        <v>399</v>
      </c>
      <c r="I64" s="20" t="s">
        <v>69</v>
      </c>
      <c r="J64" s="20" t="s">
        <v>37</v>
      </c>
      <c r="K64" s="20" t="s">
        <v>69</v>
      </c>
      <c r="L64" s="20" t="s">
        <v>69</v>
      </c>
      <c r="M64" s="21" t="s">
        <v>69</v>
      </c>
      <c r="N64" s="20" t="s">
        <v>69</v>
      </c>
    </row>
    <row r="65" spans="1:14" x14ac:dyDescent="0.25">
      <c r="A65" s="19" t="s">
        <v>400</v>
      </c>
      <c r="B65" s="19" t="s">
        <v>49</v>
      </c>
      <c r="C65" s="19" t="s">
        <v>49</v>
      </c>
      <c r="D65" s="19" t="s">
        <v>401</v>
      </c>
      <c r="E65" s="19" t="s">
        <v>402</v>
      </c>
      <c r="F65" s="19" t="s">
        <v>403</v>
      </c>
      <c r="G65" s="19" t="s">
        <v>88</v>
      </c>
      <c r="H65" s="19" t="s">
        <v>404</v>
      </c>
      <c r="I65" s="20" t="s">
        <v>69</v>
      </c>
      <c r="J65" s="20" t="s">
        <v>37</v>
      </c>
      <c r="K65" s="20" t="s">
        <v>69</v>
      </c>
      <c r="L65" s="20" t="s">
        <v>69</v>
      </c>
      <c r="M65" s="21" t="s">
        <v>69</v>
      </c>
      <c r="N65" s="20" t="s">
        <v>69</v>
      </c>
    </row>
    <row r="66" spans="1:14" x14ac:dyDescent="0.25">
      <c r="A66" s="19" t="s">
        <v>405</v>
      </c>
      <c r="B66" s="19" t="s">
        <v>49</v>
      </c>
      <c r="C66" s="19" t="s">
        <v>49</v>
      </c>
      <c r="D66" s="19" t="s">
        <v>406</v>
      </c>
      <c r="E66" s="19" t="s">
        <v>397</v>
      </c>
      <c r="F66" s="19" t="s">
        <v>407</v>
      </c>
      <c r="G66" s="19" t="s">
        <v>88</v>
      </c>
      <c r="H66" s="19" t="s">
        <v>408</v>
      </c>
      <c r="I66" s="20" t="s">
        <v>69</v>
      </c>
      <c r="J66" s="20" t="s">
        <v>37</v>
      </c>
      <c r="K66" s="20" t="s">
        <v>69</v>
      </c>
      <c r="L66" s="20" t="s">
        <v>69</v>
      </c>
      <c r="M66" s="21" t="s">
        <v>69</v>
      </c>
      <c r="N66" s="20" t="s">
        <v>69</v>
      </c>
    </row>
    <row r="67" spans="1:14" x14ac:dyDescent="0.25">
      <c r="A67" s="19" t="s">
        <v>409</v>
      </c>
      <c r="B67" s="19" t="s">
        <v>50</v>
      </c>
      <c r="C67" s="19" t="s">
        <v>410</v>
      </c>
      <c r="D67" s="19" t="s">
        <v>411</v>
      </c>
      <c r="E67" s="19" t="s">
        <v>412</v>
      </c>
      <c r="F67" s="19" t="s">
        <v>413</v>
      </c>
      <c r="G67" s="19" t="s">
        <v>88</v>
      </c>
      <c r="H67" s="19" t="s">
        <v>414</v>
      </c>
      <c r="I67" s="20" t="s">
        <v>69</v>
      </c>
      <c r="J67" s="20" t="s">
        <v>37</v>
      </c>
      <c r="K67" s="20" t="s">
        <v>69</v>
      </c>
      <c r="L67" s="20" t="s">
        <v>69</v>
      </c>
      <c r="M67" s="21" t="s">
        <v>69</v>
      </c>
      <c r="N67" s="20" t="s">
        <v>69</v>
      </c>
    </row>
    <row r="68" spans="1:14" x14ac:dyDescent="0.25">
      <c r="A68" s="19" t="s">
        <v>415</v>
      </c>
      <c r="B68" s="19" t="s">
        <v>50</v>
      </c>
      <c r="C68" s="19" t="s">
        <v>410</v>
      </c>
      <c r="D68" s="19" t="s">
        <v>416</v>
      </c>
      <c r="E68" s="19" t="s">
        <v>88</v>
      </c>
      <c r="F68" s="19" t="s">
        <v>417</v>
      </c>
      <c r="G68" s="19" t="s">
        <v>88</v>
      </c>
      <c r="H68" s="19" t="s">
        <v>418</v>
      </c>
      <c r="I68" s="20" t="s">
        <v>69</v>
      </c>
      <c r="J68" s="20" t="s">
        <v>37</v>
      </c>
      <c r="K68" s="20" t="s">
        <v>69</v>
      </c>
      <c r="L68" s="20" t="s">
        <v>69</v>
      </c>
      <c r="M68" s="21" t="s">
        <v>69</v>
      </c>
      <c r="N68" s="20" t="s">
        <v>69</v>
      </c>
    </row>
    <row r="69" spans="1:14" x14ac:dyDescent="0.25">
      <c r="A69" s="19" t="s">
        <v>419</v>
      </c>
      <c r="B69" s="19" t="s">
        <v>50</v>
      </c>
      <c r="C69" s="19" t="s">
        <v>410</v>
      </c>
      <c r="D69" s="19" t="s">
        <v>420</v>
      </c>
      <c r="E69" s="19" t="s">
        <v>88</v>
      </c>
      <c r="F69" s="19" t="s">
        <v>421</v>
      </c>
      <c r="G69" s="19" t="s">
        <v>88</v>
      </c>
      <c r="H69" s="19" t="s">
        <v>422</v>
      </c>
      <c r="I69" s="20" t="s">
        <v>69</v>
      </c>
      <c r="J69" s="20" t="s">
        <v>37</v>
      </c>
      <c r="K69" s="20" t="s">
        <v>69</v>
      </c>
      <c r="L69" s="20" t="s">
        <v>69</v>
      </c>
      <c r="M69" s="21" t="s">
        <v>69</v>
      </c>
      <c r="N69" s="20" t="s">
        <v>69</v>
      </c>
    </row>
  </sheetData>
  <autoFilter ref="A1:N69"/>
  <conditionalFormatting sqref="J2:J69">
    <cfRule type="containsText" dxfId="0" priority="1">
      <formula>NOT(ISERROR(SEARCH("Pass",J2)))</formula>
    </cfRule>
    <cfRule type="containsText" dxfId="1" priority="2">
      <formula>NOT(ISERROR(SEARCH("Fail",J2)))</formula>
    </cfRule>
    <cfRule type="containsText" dxfId="2" priority="3">
      <formula>NOT(ISERROR(SEARCH("Blocked",J2)))</formula>
    </cfRule>
  </conditionalFormatting>
  <dataValidations count="6">
    <dataValidation type="list" sqref="J10:J69">
      <formula1>"Pass,Fail,Blocked,Not Run"</formula1>
    </dataValidation>
    <dataValidation type="list" sqref="J2:J69">
      <formula1>"Pass,Fail,Blocked,Not Run"</formula1>
    </dataValidation>
    <dataValidation type="list" allowBlank="1" sqref="K10:K69">
      <formula1>"Critical,High,Medium,Low"</formula1>
    </dataValidation>
    <dataValidation type="list" allowBlank="1" sqref="K2:K69">
      <formula1>"Critical,High,Medium,Low"</formula1>
    </dataValidation>
    <dataValidation type="date" operator="greaterThan" allowBlank="1" showErrorMessage="1" error="Enter a date (DD/MM/YYYY)." sqref="M10:M69">
      <formula1>46022.77083333333</formula1>
    </dataValidation>
    <dataValidation type="date" operator="greaterThan" allowBlank="1" showErrorMessage="1" error="Enter a date (DD/MM/YYYY)." sqref="M2:M69">
      <formula1>46022.77083333333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7" width="10" customWidth="1"/>
    <col min="8" max="8" width="14" customWidth="1"/>
  </cols>
  <sheetData>
    <row r="2" spans="2:2" x14ac:dyDescent="0.25">
      <c r="B2" s="8" t="s">
        <v>31</v>
      </c>
    </row>
    <row r="3" spans="2:2" x14ac:dyDescent="0.25">
      <c r="B3" s="9" t="s">
        <v>32</v>
      </c>
    </row>
    <row r="5" spans="2:8" x14ac:dyDescent="0.25">
      <c r="B5" s="10" t="s">
        <v>33</v>
      </c>
      <c r="C5" s="10" t="s">
        <v>34</v>
      </c>
      <c r="D5" s="10" t="s">
        <v>22</v>
      </c>
      <c r="E5" s="10" t="s">
        <v>35</v>
      </c>
      <c r="F5" s="10" t="s">
        <v>36</v>
      </c>
      <c r="G5" s="10" t="s">
        <v>37</v>
      </c>
      <c r="H5" s="10" t="s">
        <v>38</v>
      </c>
    </row>
    <row r="6" spans="2:8" x14ac:dyDescent="0.25">
      <c r="B6" s="11" t="s">
        <v>39</v>
      </c>
      <c r="C6" s="12">
        <f>COUNTIF('Test Cases'!$B$2:$B$69,B6)</f>
      </c>
      <c r="D6" s="12">
        <f>COUNTIFS('Test Cases'!$B$2:$B$69,$B6,'Test Cases'!$J$2:$J$69,"Pass")</f>
      </c>
      <c r="E6" s="12">
        <f>COUNTIFS('Test Cases'!$B$2:$B$69,$B6,'Test Cases'!$J$2:$J$69,"Fail")</f>
      </c>
      <c r="F6" s="12">
        <f>COUNTIFS('Test Cases'!$B$2:$B$69,$B6,'Test Cases'!$J$2:$J$69,"Blocked")</f>
      </c>
      <c r="G6" s="12">
        <f>COUNTIFS('Test Cases'!$B$2:$B$69,$B6,'Test Cases'!$J$2:$J$69,"Not Run")</f>
      </c>
      <c r="H6" s="13">
        <f>IF(C6=0,0,(D6+E6+F6)/C6)</f>
      </c>
    </row>
    <row r="7" spans="2:8" x14ac:dyDescent="0.25">
      <c r="B7" s="11" t="s">
        <v>40</v>
      </c>
      <c r="C7" s="12">
        <f>COUNTIF('Test Cases'!$B$2:$B$69,B7)</f>
      </c>
      <c r="D7" s="12">
        <f>COUNTIFS('Test Cases'!$B$2:$B$69,$B7,'Test Cases'!$J$2:$J$69,"Pass")</f>
      </c>
      <c r="E7" s="12">
        <f>COUNTIFS('Test Cases'!$B$2:$B$69,$B7,'Test Cases'!$J$2:$J$69,"Fail")</f>
      </c>
      <c r="F7" s="12">
        <f>COUNTIFS('Test Cases'!$B$2:$B$69,$B7,'Test Cases'!$J$2:$J$69,"Blocked")</f>
      </c>
      <c r="G7" s="12">
        <f>COUNTIFS('Test Cases'!$B$2:$B$69,$B7,'Test Cases'!$J$2:$J$69,"Not Run")</f>
      </c>
      <c r="H7" s="13">
        <f>IF(C7=0,0,(D7+E7+F7)/C7)</f>
      </c>
    </row>
    <row r="8" spans="2:8" x14ac:dyDescent="0.25">
      <c r="B8" s="11" t="s">
        <v>41</v>
      </c>
      <c r="C8" s="12">
        <f>COUNTIF('Test Cases'!$B$2:$B$69,B8)</f>
      </c>
      <c r="D8" s="12">
        <f>COUNTIFS('Test Cases'!$B$2:$B$69,$B8,'Test Cases'!$J$2:$J$69,"Pass")</f>
      </c>
      <c r="E8" s="12">
        <f>COUNTIFS('Test Cases'!$B$2:$B$69,$B8,'Test Cases'!$J$2:$J$69,"Fail")</f>
      </c>
      <c r="F8" s="12">
        <f>COUNTIFS('Test Cases'!$B$2:$B$69,$B8,'Test Cases'!$J$2:$J$69,"Blocked")</f>
      </c>
      <c r="G8" s="12">
        <f>COUNTIFS('Test Cases'!$B$2:$B$69,$B8,'Test Cases'!$J$2:$J$69,"Not Run")</f>
      </c>
      <c r="H8" s="13">
        <f>IF(C8=0,0,(D8+E8+F8)/C8)</f>
      </c>
    </row>
    <row r="9" spans="2:8" x14ac:dyDescent="0.25">
      <c r="B9" s="11" t="s">
        <v>42</v>
      </c>
      <c r="C9" s="12">
        <f>COUNTIF('Test Cases'!$B$2:$B$69,B9)</f>
      </c>
      <c r="D9" s="12">
        <f>COUNTIFS('Test Cases'!$B$2:$B$69,$B9,'Test Cases'!$J$2:$J$69,"Pass")</f>
      </c>
      <c r="E9" s="12">
        <f>COUNTIFS('Test Cases'!$B$2:$B$69,$B9,'Test Cases'!$J$2:$J$69,"Fail")</f>
      </c>
      <c r="F9" s="12">
        <f>COUNTIFS('Test Cases'!$B$2:$B$69,$B9,'Test Cases'!$J$2:$J$69,"Blocked")</f>
      </c>
      <c r="G9" s="12">
        <f>COUNTIFS('Test Cases'!$B$2:$B$69,$B9,'Test Cases'!$J$2:$J$69,"Not Run")</f>
      </c>
      <c r="H9" s="13">
        <f>IF(C9=0,0,(D9+E9+F9)/C9)</f>
      </c>
    </row>
    <row r="10" spans="2:8" x14ac:dyDescent="0.25">
      <c r="B10" s="11" t="s">
        <v>43</v>
      </c>
      <c r="C10" s="12">
        <f>COUNTIF('Test Cases'!$B$2:$B$69,B10)</f>
      </c>
      <c r="D10" s="12">
        <f>COUNTIFS('Test Cases'!$B$2:$B$69,$B10,'Test Cases'!$J$2:$J$69,"Pass")</f>
      </c>
      <c r="E10" s="12">
        <f>COUNTIFS('Test Cases'!$B$2:$B$69,$B10,'Test Cases'!$J$2:$J$69,"Fail")</f>
      </c>
      <c r="F10" s="12">
        <f>COUNTIFS('Test Cases'!$B$2:$B$69,$B10,'Test Cases'!$J$2:$J$69,"Blocked")</f>
      </c>
      <c r="G10" s="12">
        <f>COUNTIFS('Test Cases'!$B$2:$B$69,$B10,'Test Cases'!$J$2:$J$69,"Not Run")</f>
      </c>
      <c r="H10" s="13">
        <f>IF(C10=0,0,(D10+E10+F10)/C10)</f>
      </c>
    </row>
    <row r="11" spans="2:8" x14ac:dyDescent="0.25">
      <c r="B11" s="11" t="s">
        <v>44</v>
      </c>
      <c r="C11" s="12">
        <f>COUNTIF('Test Cases'!$B$2:$B$69,B11)</f>
      </c>
      <c r="D11" s="12">
        <f>COUNTIFS('Test Cases'!$B$2:$B$69,$B11,'Test Cases'!$J$2:$J$69,"Pass")</f>
      </c>
      <c r="E11" s="12">
        <f>COUNTIFS('Test Cases'!$B$2:$B$69,$B11,'Test Cases'!$J$2:$J$69,"Fail")</f>
      </c>
      <c r="F11" s="12">
        <f>COUNTIFS('Test Cases'!$B$2:$B$69,$B11,'Test Cases'!$J$2:$J$69,"Blocked")</f>
      </c>
      <c r="G11" s="12">
        <f>COUNTIFS('Test Cases'!$B$2:$B$69,$B11,'Test Cases'!$J$2:$J$69,"Not Run")</f>
      </c>
      <c r="H11" s="13">
        <f>IF(C11=0,0,(D11+E11+F11)/C11)</f>
      </c>
    </row>
    <row r="12" spans="2:8" x14ac:dyDescent="0.25">
      <c r="B12" s="11" t="s">
        <v>45</v>
      </c>
      <c r="C12" s="12">
        <f>COUNTIF('Test Cases'!$B$2:$B$69,B12)</f>
      </c>
      <c r="D12" s="12">
        <f>COUNTIFS('Test Cases'!$B$2:$B$69,$B12,'Test Cases'!$J$2:$J$69,"Pass")</f>
      </c>
      <c r="E12" s="12">
        <f>COUNTIFS('Test Cases'!$B$2:$B$69,$B12,'Test Cases'!$J$2:$J$69,"Fail")</f>
      </c>
      <c r="F12" s="12">
        <f>COUNTIFS('Test Cases'!$B$2:$B$69,$B12,'Test Cases'!$J$2:$J$69,"Blocked")</f>
      </c>
      <c r="G12" s="12">
        <f>COUNTIFS('Test Cases'!$B$2:$B$69,$B12,'Test Cases'!$J$2:$J$69,"Not Run")</f>
      </c>
      <c r="H12" s="13">
        <f>IF(C12=0,0,(D12+E12+F12)/C12)</f>
      </c>
    </row>
    <row r="13" spans="2:8" x14ac:dyDescent="0.25">
      <c r="B13" s="11" t="s">
        <v>46</v>
      </c>
      <c r="C13" s="12">
        <f>COUNTIF('Test Cases'!$B$2:$B$69,B13)</f>
      </c>
      <c r="D13" s="12">
        <f>COUNTIFS('Test Cases'!$B$2:$B$69,$B13,'Test Cases'!$J$2:$J$69,"Pass")</f>
      </c>
      <c r="E13" s="12">
        <f>COUNTIFS('Test Cases'!$B$2:$B$69,$B13,'Test Cases'!$J$2:$J$69,"Fail")</f>
      </c>
      <c r="F13" s="12">
        <f>COUNTIFS('Test Cases'!$B$2:$B$69,$B13,'Test Cases'!$J$2:$J$69,"Blocked")</f>
      </c>
      <c r="G13" s="12">
        <f>COUNTIFS('Test Cases'!$B$2:$B$69,$B13,'Test Cases'!$J$2:$J$69,"Not Run")</f>
      </c>
      <c r="H13" s="13">
        <f>IF(C13=0,0,(D13+E13+F13)/C13)</f>
      </c>
    </row>
    <row r="14" spans="2:8" x14ac:dyDescent="0.25">
      <c r="B14" s="11" t="s">
        <v>47</v>
      </c>
      <c r="C14" s="12">
        <f>COUNTIF('Test Cases'!$B$2:$B$69,B14)</f>
      </c>
      <c r="D14" s="12">
        <f>COUNTIFS('Test Cases'!$B$2:$B$69,$B14,'Test Cases'!$J$2:$J$69,"Pass")</f>
      </c>
      <c r="E14" s="12">
        <f>COUNTIFS('Test Cases'!$B$2:$B$69,$B14,'Test Cases'!$J$2:$J$69,"Fail")</f>
      </c>
      <c r="F14" s="12">
        <f>COUNTIFS('Test Cases'!$B$2:$B$69,$B14,'Test Cases'!$J$2:$J$69,"Blocked")</f>
      </c>
      <c r="G14" s="12">
        <f>COUNTIFS('Test Cases'!$B$2:$B$69,$B14,'Test Cases'!$J$2:$J$69,"Not Run")</f>
      </c>
      <c r="H14" s="13">
        <f>IF(C14=0,0,(D14+E14+F14)/C14)</f>
      </c>
    </row>
    <row r="15" spans="2:8" x14ac:dyDescent="0.25">
      <c r="B15" s="11" t="s">
        <v>48</v>
      </c>
      <c r="C15" s="12">
        <f>COUNTIF('Test Cases'!$B$2:$B$69,B15)</f>
      </c>
      <c r="D15" s="12">
        <f>COUNTIFS('Test Cases'!$B$2:$B$69,$B15,'Test Cases'!$J$2:$J$69,"Pass")</f>
      </c>
      <c r="E15" s="12">
        <f>COUNTIFS('Test Cases'!$B$2:$B$69,$B15,'Test Cases'!$J$2:$J$69,"Fail")</f>
      </c>
      <c r="F15" s="12">
        <f>COUNTIFS('Test Cases'!$B$2:$B$69,$B15,'Test Cases'!$J$2:$J$69,"Blocked")</f>
      </c>
      <c r="G15" s="12">
        <f>COUNTIFS('Test Cases'!$B$2:$B$69,$B15,'Test Cases'!$J$2:$J$69,"Not Run")</f>
      </c>
      <c r="H15" s="13">
        <f>IF(C15=0,0,(D15+E15+F15)/C15)</f>
      </c>
    </row>
    <row r="16" spans="2:8" x14ac:dyDescent="0.25">
      <c r="B16" s="11" t="s">
        <v>49</v>
      </c>
      <c r="C16" s="12">
        <f>COUNTIF('Test Cases'!$B$2:$B$69,B16)</f>
      </c>
      <c r="D16" s="12">
        <f>COUNTIFS('Test Cases'!$B$2:$B$69,$B16,'Test Cases'!$J$2:$J$69,"Pass")</f>
      </c>
      <c r="E16" s="12">
        <f>COUNTIFS('Test Cases'!$B$2:$B$69,$B16,'Test Cases'!$J$2:$J$69,"Fail")</f>
      </c>
      <c r="F16" s="12">
        <f>COUNTIFS('Test Cases'!$B$2:$B$69,$B16,'Test Cases'!$J$2:$J$69,"Blocked")</f>
      </c>
      <c r="G16" s="12">
        <f>COUNTIFS('Test Cases'!$B$2:$B$69,$B16,'Test Cases'!$J$2:$J$69,"Not Run")</f>
      </c>
      <c r="H16" s="13">
        <f>IF(C16=0,0,(D16+E16+F16)/C16)</f>
      </c>
    </row>
    <row r="17" spans="2:8" x14ac:dyDescent="0.25">
      <c r="B17" s="11" t="s">
        <v>50</v>
      </c>
      <c r="C17" s="12">
        <f>COUNTIF('Test Cases'!$B$2:$B$69,B17)</f>
      </c>
      <c r="D17" s="12">
        <f>COUNTIFS('Test Cases'!$B$2:$B$69,$B17,'Test Cases'!$J$2:$J$69,"Pass")</f>
      </c>
      <c r="E17" s="12">
        <f>COUNTIFS('Test Cases'!$B$2:$B$69,$B17,'Test Cases'!$J$2:$J$69,"Fail")</f>
      </c>
      <c r="F17" s="12">
        <f>COUNTIFS('Test Cases'!$B$2:$B$69,$B17,'Test Cases'!$J$2:$J$69,"Blocked")</f>
      </c>
      <c r="G17" s="12">
        <f>COUNTIFS('Test Cases'!$B$2:$B$69,$B17,'Test Cases'!$J$2:$J$69,"Not Run")</f>
      </c>
      <c r="H17" s="13">
        <f>IF(C17=0,0,(D17+E17+F17)/C17)</f>
      </c>
    </row>
    <row r="18" spans="2:8" x14ac:dyDescent="0.25">
      <c r="B18" s="14" t="s">
        <v>34</v>
      </c>
      <c r="C18" s="15">
        <f>SUM(C6:C17)</f>
      </c>
      <c r="D18" s="15">
        <f>SUM(D6:D17)</f>
      </c>
      <c r="E18" s="15">
        <f>SUM(E6:E17)</f>
      </c>
      <c r="F18" s="15">
        <f>SUM(F6:F17)</f>
      </c>
      <c r="G18" s="15">
        <f>SUM(G6:G17)</f>
      </c>
      <c r="H18" s="16">
        <f>IF(C18=0,0,(D18+E18+F18)/C18)</f>
      </c>
    </row>
    <row r="20" spans="2:2" x14ac:dyDescent="0.25">
      <c r="B20" s="17" t="s">
        <v>51</v>
      </c>
    </row>
    <row r="21" spans="2:3" x14ac:dyDescent="0.25">
      <c r="B21" s="11" t="s">
        <v>52</v>
      </c>
      <c r="C21" s="12">
        <f>COUNTIFS('Test Cases'!$J$2:$J$69,"Fail",'Test Cases'!$K$2:$K$69,"Critical")</f>
      </c>
    </row>
    <row r="22" spans="2:3" x14ac:dyDescent="0.25">
      <c r="B22" s="11" t="s">
        <v>53</v>
      </c>
      <c r="C22" s="12">
        <f>COUNTIFS('Test Cases'!$J$2:$J$69,"Fail",'Test Cases'!$K$2:$K$69,"High")</f>
      </c>
    </row>
    <row r="23" spans="2:3" x14ac:dyDescent="0.25">
      <c r="B23" s="11" t="s">
        <v>54</v>
      </c>
      <c r="C23" s="12">
        <f>COUNTIFS('Test Cases'!$J$2:$J$69,"Fail",'Test Cases'!$K$2:$K$69,"Medium")</f>
      </c>
    </row>
    <row r="24" spans="2:3" x14ac:dyDescent="0.25">
      <c r="B24" s="11" t="s">
        <v>55</v>
      </c>
      <c r="C24" s="12">
        <f>COUNTIFS('Test Cases'!$J$2:$J$69,"Fail",'Test Cases'!$K$2:$K$69,"Low")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 and Rent Maintenance UAT</dc:creator>
  <dc:title/>
  <dc:subject/>
  <dc:description/>
  <cp:keywords/>
  <cp:category/>
  <cp:lastModifiedBy>Unknown</cp:lastModifiedBy>
  <dcterms:created xsi:type="dcterms:W3CDTF">2026-10-15T07:29:24Z</dcterms:created>
  <dcterms:modified xsi:type="dcterms:W3CDTF">2026-10-15T07:29:24Z</dcterms:modified>
</cp:coreProperties>
</file>